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Input" sheetId="1" r:id="rId4"/>
    <sheet state="visible" name="Exploitatiekosten" sheetId="2" r:id="rId5"/>
    <sheet state="visible" name="Rapport pagina 1" sheetId="3" r:id="rId6"/>
    <sheet state="visible" name="Cursor_export" sheetId="4" r:id="rId7"/>
    <sheet state="visible" name="Grafiekdata" sheetId="5" r:id="rId8"/>
    <sheet state="visible" name="README" sheetId="6" r:id="rId9"/>
  </sheets>
  <definedNames/>
  <calcPr/>
  <extLst>
    <ext uri="GoogleSheetsCustomDataVersion2">
      <go:sheetsCustomData xmlns:go="http://customooxmlschemas.google.com/" r:id="rId10" roundtripDataChecksum="oJYsF+Z534dGW7O9eaMHABcku3UAQt/xQKccwCuJkz8="/>
    </ext>
  </extLst>
</workbook>
</file>

<file path=xl/sharedStrings.xml><?xml version="1.0" encoding="utf-8"?>
<sst xmlns="http://schemas.openxmlformats.org/spreadsheetml/2006/main" count="215" uniqueCount="165">
  <si>
    <t>Vastgoedrapport - inputmodel</t>
  </si>
  <si>
    <t>Algemene gegevens</t>
  </si>
  <si>
    <t>Objectnaam</t>
  </si>
  <si>
    <t>Voorbeeldobject</t>
  </si>
  <si>
    <t>Tekst</t>
  </si>
  <si>
    <t>Aanpassen per object</t>
  </si>
  <si>
    <t>Adres</t>
  </si>
  <si>
    <t>Straatnaam 1, Plaats</t>
  </si>
  <si>
    <t>Foto URL of bestandsnaam</t>
  </si>
  <si>
    <t>Voor Cursor-rapport: pad of URL naar objectfoto</t>
  </si>
  <si>
    <t>Vastgoedwaarde en financiering</t>
  </si>
  <si>
    <t>Marktwaarde vastgoed</t>
  </si>
  <si>
    <t>€</t>
  </si>
  <si>
    <t>Nieuwe splitsing: actuele marktwaarde</t>
  </si>
  <si>
    <t>WOZ-waarde vastgoed</t>
  </si>
  <si>
    <t>Nieuwe splitsing: WOZ-waarde</t>
  </si>
  <si>
    <t>Financiering</t>
  </si>
  <si>
    <t>Openstaande lening / schuld</t>
  </si>
  <si>
    <t>Eigen inleg (berekend)</t>
  </si>
  <si>
    <t>Formule: marktwaarde minus financiering</t>
  </si>
  <si>
    <t>Huur en rendement</t>
  </si>
  <si>
    <t>Huur per maand</t>
  </si>
  <si>
    <t>€ / maand</t>
  </si>
  <si>
    <t>Huidige maandhuur</t>
  </si>
  <si>
    <t>Huur per jaar</t>
  </si>
  <si>
    <t>€ / jaar</t>
  </si>
  <si>
    <t>Formule: huur per maand x 12</t>
  </si>
  <si>
    <t>Bruto rendement op marktwaarde</t>
  </si>
  <si>
    <t>%</t>
  </si>
  <si>
    <t>Formule: huur per jaar / marktwaarde</t>
  </si>
  <si>
    <t>Rente, exploitatiekosten en vermogensbelasting</t>
  </si>
  <si>
    <t>Rentepercentage</t>
  </si>
  <si>
    <t>Rentelasten per jaar</t>
  </si>
  <si>
    <t>Formule: financiering x rente</t>
  </si>
  <si>
    <t>Na rente resteert</t>
  </si>
  <si>
    <t>Huur per jaar minus rentelasten</t>
  </si>
  <si>
    <t>Vermogensbelastingpercentage</t>
  </si>
  <si>
    <t>Standaard 2%; aanpasbaar</t>
  </si>
  <si>
    <t>Vermogensbelastingbasis</t>
  </si>
  <si>
    <t>Huurinkomsten</t>
  </si>
  <si>
    <t>Keuze</t>
  </si>
  <si>
    <t>Keuze: Huurinkomsten, Marktwaarde vastgoed, WOZ-waarde vastgoed of Netto na rente</t>
  </si>
  <si>
    <t>Vermogensbelasting per jaar</t>
  </si>
  <si>
    <t>Default: 2% van gekozen basis; geen heffingsvrij vermogen/schuldendrempel toegepast in casus</t>
  </si>
  <si>
    <t>Exploitatiekosten totaal</t>
  </si>
  <si>
    <t>Komt uit het blad Exploitatiekosten</t>
  </si>
  <si>
    <t>Netto huurinkomsten</t>
  </si>
  <si>
    <t>Huur + rente + exploitatiekosten + vermogensbelasting</t>
  </si>
  <si>
    <t>Netto rendement op marktwaarde</t>
  </si>
  <si>
    <t>Netto huurinkomsten / marktwaarde</t>
  </si>
  <si>
    <t>Netto rendement op eigen inleg</t>
  </si>
  <si>
    <t>Netto huurinkomsten / eigen inleg</t>
  </si>
  <si>
    <t>Gemiddelde waardestijging per jaar</t>
  </si>
  <si>
    <t>Aanname voor waardestijging; standaard 3%</t>
  </si>
  <si>
    <t>Totaal rendement incl. waardestijging</t>
  </si>
  <si>
    <t>Netto rendement op eigen inleg plus gemiddelde waardestijging</t>
  </si>
  <si>
    <t>Exploitatiekosten zonder VvE als % van de huur</t>
  </si>
  <si>
    <t>Kostenpost</t>
  </si>
  <si>
    <t>Jaarbedrag</t>
  </si>
  <si>
    <t>% van huurinkomsten</t>
  </si>
  <si>
    <t>Gemeentelijke lasten eigenaar</t>
  </si>
  <si>
    <t>Opstalverzekering</t>
  </si>
  <si>
    <t>Klein onderhoud</t>
  </si>
  <si>
    <t>Reservering groot onderhoud</t>
  </si>
  <si>
    <t>Beheer en administratie</t>
  </si>
  <si>
    <t>Verhuur- en mutatiekosten</t>
  </si>
  <si>
    <t>Leegstand / wanbetaling</t>
  </si>
  <si>
    <t>Totaal exploitatiekosten</t>
  </si>
  <si>
    <t>INVESTERINGSADVIES | STARTPUNT ANALYSE</t>
  </si>
  <si>
    <t>Uw huidige situatie</t>
  </si>
  <si>
    <t>Korte rendementscheck</t>
  </si>
  <si>
    <t>[FOTO VAN HET HUIDIGE VASTGOED]
Plaats hier de foto van het appartement of de bedrijfsruimte.
Bron in spreadsheet: Input!B6</t>
  </si>
  <si>
    <t>Bruto rendement marktwaarde</t>
  </si>
  <si>
    <t>Rente</t>
  </si>
  <si>
    <t>Exploitatiekosten</t>
  </si>
  <si>
    <t>Gemiddelde waardestijging</t>
  </si>
  <si>
    <t>Kernbeeld</t>
  </si>
  <si>
    <t>% huur</t>
  </si>
  <si>
    <t>Totaal</t>
  </si>
  <si>
    <t>Cursor_export - key-value data voor dynamische rapportage</t>
  </si>
  <si>
    <t>Key</t>
  </si>
  <si>
    <t>Value</t>
  </si>
  <si>
    <t>Formatted value</t>
  </si>
  <si>
    <t>Source</t>
  </si>
  <si>
    <t>Omschrijving</t>
  </si>
  <si>
    <t>objectnaam</t>
  </si>
  <si>
    <t>Input!B4</t>
  </si>
  <si>
    <t>Naam van het object</t>
  </si>
  <si>
    <t>adres</t>
  </si>
  <si>
    <t>Input!B5</t>
  </si>
  <si>
    <t>Adres van het object</t>
  </si>
  <si>
    <t>foto_url_of_bestand</t>
  </si>
  <si>
    <t>Input!B6</t>
  </si>
  <si>
    <t>Pad of URL voor foto</t>
  </si>
  <si>
    <t>marktwaarde_vastgoed</t>
  </si>
  <si>
    <t>Input!B9</t>
  </si>
  <si>
    <t>Actuele marktwaarde</t>
  </si>
  <si>
    <t>woz_waarde_vastgoed</t>
  </si>
  <si>
    <t>Input!B10</t>
  </si>
  <si>
    <t>WOZ-waarde</t>
  </si>
  <si>
    <t>financiering</t>
  </si>
  <si>
    <t>Input!B11</t>
  </si>
  <si>
    <t>eigen_inleg</t>
  </si>
  <si>
    <t>Input!B12</t>
  </si>
  <si>
    <t>Marktwaarde minus financiering</t>
  </si>
  <si>
    <t>huur_per_maand</t>
  </si>
  <si>
    <t>Input!B15</t>
  </si>
  <si>
    <t>Maandelijkse huur</t>
  </si>
  <si>
    <t>huur_per_jaar</t>
  </si>
  <si>
    <t>Input!B16</t>
  </si>
  <si>
    <t>Jaarlijkse huur</t>
  </si>
  <si>
    <t>bruto_rendement_marktwaarde</t>
  </si>
  <si>
    <t>Input!B17</t>
  </si>
  <si>
    <t>Bruto rendement o.b.v. marktwaarde</t>
  </si>
  <si>
    <t>rentepercentage</t>
  </si>
  <si>
    <t>Input!B20</t>
  </si>
  <si>
    <t>rentelasten_per_jaar</t>
  </si>
  <si>
    <t>Input!B21</t>
  </si>
  <si>
    <t>Jaarlijkse rentelasten</t>
  </si>
  <si>
    <t>na_rente_resteert</t>
  </si>
  <si>
    <t>Input!B22</t>
  </si>
  <si>
    <t>exploitatiekosten_totaal</t>
  </si>
  <si>
    <t>Input!B26</t>
  </si>
  <si>
    <t>vermogensbelasting_percentage</t>
  </si>
  <si>
    <t>Input!B23</t>
  </si>
  <si>
    <t>vermogensbelastingbasis</t>
  </si>
  <si>
    <t>Input!B24</t>
  </si>
  <si>
    <t>Basis voor vermogensbelasting</t>
  </si>
  <si>
    <t>vermogensbelasting_per_jaar</t>
  </si>
  <si>
    <t>Input!B25</t>
  </si>
  <si>
    <t>Jaarlijkse vermogensbelasting</t>
  </si>
  <si>
    <t>netto_huurinkomsten</t>
  </si>
  <si>
    <t>Input!B27</t>
  </si>
  <si>
    <t>Na rente, kosten en vermogensbelasting</t>
  </si>
  <si>
    <t>netto_rendement_marktwaarde</t>
  </si>
  <si>
    <t>Input!B28</t>
  </si>
  <si>
    <t>Netto rendement o.b.v. marktwaarde</t>
  </si>
  <si>
    <t>netto_rendement_eigen_inleg</t>
  </si>
  <si>
    <t>Input!B29</t>
  </si>
  <si>
    <t>Netto rendement o.b.v. eigen inleg</t>
  </si>
  <si>
    <t>gemiddelde_waardestijging</t>
  </si>
  <si>
    <t>Input!B30</t>
  </si>
  <si>
    <t>totaal_rendement_incl_waardestijging</t>
  </si>
  <si>
    <t>Input!B31</t>
  </si>
  <si>
    <t>kernbeeld</t>
  </si>
  <si>
    <t>Rapport pagina 1!A23</t>
  </si>
  <si>
    <t>Dynamische tekst voor rapport</t>
  </si>
  <si>
    <t>Grafiekdata - jaarlijks kasstroomoverzicht</t>
  </si>
  <si>
    <t>Post</t>
  </si>
  <si>
    <t>Bedrag</t>
  </si>
  <si>
    <t>Huur</t>
  </si>
  <si>
    <t>Vermogensbelasting</t>
  </si>
  <si>
    <t>README - gebruik van dit Excel-model</t>
  </si>
  <si>
    <t>Doel</t>
  </si>
  <si>
    <t>Deze workbook maakt het investor leaflet-startdocument dynamisch na in Excel, met uitbreiding voor marktwaarde, WOZ-waarde, exploitatiekosten en vermogensbelasting.</t>
  </si>
  <si>
    <t>Belangrijkste invoer</t>
  </si>
  <si>
    <t>Vul het blad Input in. Gele cellen met blauwe tekst zijn invoercellen. Formules staan in zwarte tekst.</t>
  </si>
  <si>
    <t>Het blad Exploitatiekosten bevat de kostenposten uit de aangeleverde tabel. Pas de jaarbedragen in kolom B aan; percentages worden automatisch berekend t.o.v. huur per jaar.</t>
  </si>
  <si>
    <t>Standaard staat het percentage op 2% en de basis op Huurinkomsten. De basis is aanpasbaar via de dropdown in Input!B24. In dit rekenvoorbeeld worden geen heffingsvrij vermogen en geen schuldendrempel toegepast.</t>
  </si>
  <si>
    <t>Nieuwe velden</t>
  </si>
  <si>
    <t>WOZ-brutorendement en netto rendement op WOZ-waarde zijn verwijderd. Toegevoegd: totaal_rendement_incl_waardestijging en netto_huurinkomsten in Cursor_export.</t>
  </si>
  <si>
    <t>Cursor-koppeling</t>
  </si>
  <si>
    <t>Gebruik het blad Cursor_export als stabiele key-value laag. Je Cursor-code kan elke rij uitlezen en keys gebruiken voor een HTML/PDF/DOCX rapport.</t>
  </si>
  <si>
    <t>Bron</t>
  </si>
  <si>
    <t>Gebaseerd op investor_leaflet_startdocument_v1(1).docx en de aangeleverde exploitatiekosten-afbeelding.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</si>
</sst>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€ #,##0;[Red]-€ #,##0"/>
    <numFmt numFmtId="165" formatCode="0.0%"/>
    <numFmt numFmtId="166" formatCode="0.0%;[Red](0.0%);-"/>
    <numFmt numFmtId="167" formatCode="€ #,##0;[Red](€ #,##0);-"/>
  </numFmts>
  <fonts count="14">
    <font>
      <sz val="11.0"/>
      <color rgb="FF000000"/>
      <name val="Carlito"/>
      <scheme val="minor"/>
    </font>
    <font>
      <b/>
      <sz val="14.0"/>
      <color rgb="FFFFFFFF"/>
      <name val="Carlito"/>
    </font>
    <font>
      <sz val="11.0"/>
      <color theme="1"/>
      <name val="Carlito"/>
    </font>
    <font>
      <b/>
      <sz val="11.0"/>
      <color rgb="FFFFFFFF"/>
      <name val="Carlito"/>
    </font>
    <font>
      <sz val="11.0"/>
      <color rgb="FF0000FF"/>
      <name val="Carlito"/>
    </font>
    <font>
      <i/>
      <sz val="9.0"/>
      <color rgb="FF666666"/>
      <name val="Carlito"/>
    </font>
    <font>
      <sz val="11.0"/>
      <color rgb="FF000000"/>
      <name val="Carlito"/>
    </font>
    <font>
      <b/>
      <i/>
      <sz val="9.0"/>
      <color rgb="FFFFFFFF"/>
      <name val="Carlito"/>
    </font>
    <font>
      <b/>
      <sz val="11.0"/>
      <color rgb="FF000000"/>
      <name val="Carlito"/>
    </font>
    <font>
      <sz val="11.0"/>
      <color rgb="FF008000"/>
      <name val="Carlito"/>
    </font>
    <font>
      <b/>
      <sz val="11.0"/>
      <color theme="1"/>
      <name val="Carlito"/>
    </font>
    <font>
      <i/>
      <sz val="11.0"/>
      <color rgb="FF666666"/>
      <name val="Carlito"/>
    </font>
    <font>
      <sz val="10.0"/>
      <color theme="1"/>
      <name val="Carlito"/>
    </font>
    <font>
      <b/>
      <sz val="10.0"/>
      <color theme="1"/>
      <name val="Carlito"/>
    </font>
  </fonts>
  <fills count="13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111827"/>
        <bgColor rgb="FF111827"/>
      </patternFill>
    </fill>
    <fill>
      <patternFill patternType="solid">
        <fgColor rgb="FFD9EAF7"/>
        <bgColor rgb="FFD9EAF7"/>
      </patternFill>
    </fill>
    <fill>
      <patternFill patternType="solid">
        <fgColor rgb="FFF3F4F6"/>
        <bgColor rgb="FFF3F4F6"/>
      </patternFill>
    </fill>
    <fill>
      <patternFill patternType="solid">
        <fgColor rgb="FFF2F2F2"/>
        <bgColor rgb="FFF2F2F2"/>
      </patternFill>
    </fill>
    <fill>
      <patternFill patternType="solid">
        <fgColor rgb="FFE2F0D9"/>
        <bgColor rgb="FFE2F0D9"/>
      </patternFill>
    </fill>
    <fill>
      <patternFill patternType="solid">
        <fgColor rgb="FFDDEBF7"/>
        <bgColor rgb="FFDDEBF7"/>
      </patternFill>
    </fill>
    <fill>
      <patternFill patternType="solid">
        <fgColor rgb="FFFFFFFF"/>
        <bgColor rgb="FFFFFFFF"/>
      </patternFill>
    </fill>
    <fill>
      <patternFill patternType="solid">
        <fgColor rgb="FF1F4E78"/>
        <bgColor rgb="FF1F4E78"/>
      </patternFill>
    </fill>
  </fills>
  <borders count="1">
    <border/>
  </borders>
  <cellStyleXfs count="1">
    <xf borderId="0" fillId="0" fontId="0" numFmtId="0" applyAlignment="1" applyFont="1"/>
  </cellStyleXfs>
  <cellXfs count="60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vertical="center"/>
    </xf>
    <xf borderId="0" fillId="0" fontId="2" numFmtId="0" xfId="0" applyAlignment="1" applyFont="1">
      <alignment vertical="center"/>
    </xf>
    <xf borderId="0" fillId="3" fontId="3" numFmtId="0" xfId="0" applyAlignment="1" applyFill="1" applyFont="1">
      <alignment horizontal="left" vertical="center"/>
    </xf>
    <xf borderId="0" fillId="4" fontId="4" numFmtId="0" xfId="0" applyAlignment="1" applyFill="1" applyFont="1">
      <alignment vertical="center"/>
    </xf>
    <xf borderId="0" fillId="0" fontId="5" numFmtId="0" xfId="0" applyAlignment="1" applyFont="1">
      <alignment shrinkToFit="0" vertical="center" wrapText="1"/>
    </xf>
    <xf borderId="0" fillId="4" fontId="4" numFmtId="164" xfId="0" applyAlignment="1" applyFont="1" applyNumberFormat="1">
      <alignment vertical="center"/>
    </xf>
    <xf borderId="0" fillId="4" fontId="4" numFmtId="164" xfId="0" applyAlignment="1" applyFont="1" applyNumberFormat="1">
      <alignment readingOrder="0" vertical="center"/>
    </xf>
    <xf borderId="0" fillId="0" fontId="6" numFmtId="164" xfId="0" applyAlignment="1" applyFont="1" applyNumberFormat="1">
      <alignment vertical="center"/>
    </xf>
    <xf borderId="0" fillId="5" fontId="3" numFmtId="0" xfId="0" applyAlignment="1" applyFill="1" applyFont="1">
      <alignment horizontal="left" vertical="center"/>
    </xf>
    <xf borderId="0" fillId="0" fontId="6" numFmtId="165" xfId="0" applyAlignment="1" applyFont="1" applyNumberFormat="1">
      <alignment vertical="center"/>
    </xf>
    <xf borderId="0" fillId="0" fontId="6" numFmtId="166" xfId="0" applyAlignment="1" applyFont="1" applyNumberFormat="1">
      <alignment vertical="center"/>
    </xf>
    <xf borderId="0" fillId="5" fontId="3" numFmtId="0" xfId="0" applyAlignment="1" applyFont="1">
      <alignment vertical="center"/>
    </xf>
    <xf borderId="0" fillId="5" fontId="7" numFmtId="0" xfId="0" applyAlignment="1" applyFont="1">
      <alignment shrinkToFit="0" vertical="center" wrapText="1"/>
    </xf>
    <xf borderId="0" fillId="2" fontId="3" numFmtId="0" xfId="0" applyAlignment="1" applyFont="1">
      <alignment horizontal="left" shrinkToFit="0" vertical="center" wrapText="1"/>
    </xf>
    <xf borderId="0" fillId="0" fontId="6" numFmtId="0" xfId="0" applyAlignment="1" applyFont="1">
      <alignment shrinkToFit="0" vertical="center" wrapText="1"/>
    </xf>
    <xf borderId="0" fillId="4" fontId="6" numFmtId="164" xfId="0" applyAlignment="1" applyFont="1" applyNumberFormat="1">
      <alignment shrinkToFit="0" vertical="center" wrapText="1"/>
    </xf>
    <xf borderId="0" fillId="0" fontId="2" numFmtId="0" xfId="0" applyAlignment="1" applyFont="1">
      <alignment shrinkToFit="0" vertical="center" wrapText="1"/>
    </xf>
    <xf borderId="0" fillId="4" fontId="4" numFmtId="165" xfId="0" applyAlignment="1" applyFont="1" applyNumberFormat="1">
      <alignment shrinkToFit="0" vertical="center" wrapText="1"/>
    </xf>
    <xf borderId="0" fillId="0" fontId="6" numFmtId="164" xfId="0" applyAlignment="1" applyFont="1" applyNumberFormat="1">
      <alignment shrinkToFit="0" vertical="center" wrapText="1"/>
    </xf>
    <xf borderId="0" fillId="0" fontId="6" numFmtId="165" xfId="0" applyAlignment="1" applyFont="1" applyNumberFormat="1">
      <alignment shrinkToFit="0" vertical="center" wrapText="1"/>
    </xf>
    <xf borderId="0" fillId="0" fontId="4" numFmtId="165" xfId="0" applyAlignment="1" applyFont="1" applyNumberFormat="1">
      <alignment shrinkToFit="0" vertical="center" wrapText="1"/>
    </xf>
    <xf borderId="0" fillId="6" fontId="8" numFmtId="0" xfId="0" applyAlignment="1" applyFill="1" applyFont="1">
      <alignment horizontal="center" vertical="center"/>
    </xf>
    <xf borderId="0" fillId="0" fontId="2" numFmtId="0" xfId="0" applyAlignment="1" applyFont="1">
      <alignment vertical="center"/>
    </xf>
    <xf borderId="0" fillId="0" fontId="9" numFmtId="167" xfId="0" applyAlignment="1" applyFont="1" applyNumberFormat="1">
      <alignment vertical="center"/>
    </xf>
    <xf borderId="0" fillId="0" fontId="2" numFmtId="166" xfId="0" applyAlignment="1" applyFont="1" applyNumberFormat="1">
      <alignment vertical="center"/>
    </xf>
    <xf borderId="0" fillId="4" fontId="4" numFmtId="167" xfId="0" applyAlignment="1" applyFont="1" applyNumberFormat="1">
      <alignment vertical="center"/>
    </xf>
    <xf borderId="0" fillId="0" fontId="2" numFmtId="167" xfId="0" applyAlignment="1" applyFont="1" applyNumberFormat="1">
      <alignment vertical="center"/>
    </xf>
    <xf borderId="0" fillId="7" fontId="10" numFmtId="167" xfId="0" applyAlignment="1" applyFill="1" applyFont="1" applyNumberFormat="1">
      <alignment vertical="center"/>
    </xf>
    <xf borderId="0" fillId="7" fontId="10" numFmtId="166" xfId="0" applyAlignment="1" applyFont="1" applyNumberFormat="1">
      <alignment vertical="center"/>
    </xf>
    <xf borderId="0" fillId="8" fontId="11" numFmtId="0" xfId="0" applyAlignment="1" applyFill="1" applyFont="1">
      <alignment horizontal="center" shrinkToFit="0" vertical="center" wrapText="1"/>
    </xf>
    <xf borderId="0" fillId="0" fontId="12" numFmtId="0" xfId="0" applyAlignment="1" applyFont="1">
      <alignment shrinkToFit="0" vertical="center" wrapText="1"/>
    </xf>
    <xf borderId="0" fillId="0" fontId="12" numFmtId="164" xfId="0" applyAlignment="1" applyFont="1" applyNumberFormat="1">
      <alignment shrinkToFit="0" vertical="center" wrapText="1"/>
    </xf>
    <xf borderId="0" fillId="0" fontId="12" numFmtId="165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9" fontId="13" numFmtId="164" xfId="0" applyAlignment="1" applyFont="1" applyNumberFormat="1">
      <alignment shrinkToFit="0" vertical="center" wrapText="1"/>
    </xf>
    <xf borderId="0" fillId="9" fontId="13" numFmtId="165" xfId="0" applyAlignment="1" applyFont="1" applyNumberFormat="1">
      <alignment shrinkToFit="0" vertical="center" wrapText="1"/>
    </xf>
    <xf borderId="0" fillId="10" fontId="12" numFmtId="0" xfId="0" applyAlignment="1" applyFill="1" applyFont="1">
      <alignment shrinkToFit="0" vertical="center" wrapText="1"/>
    </xf>
    <xf borderId="0" fillId="10" fontId="12" numFmtId="165" xfId="0" applyAlignment="1" applyFont="1" applyNumberFormat="1">
      <alignment shrinkToFit="0" vertical="center" wrapText="1"/>
    </xf>
    <xf borderId="0" fillId="11" fontId="6" numFmtId="0" xfId="0" applyAlignment="1" applyFill="1" applyFont="1">
      <alignment shrinkToFit="0" vertical="top" wrapText="1"/>
    </xf>
    <xf borderId="0" fillId="7" fontId="8" numFmtId="0" xfId="0" applyAlignment="1" applyFont="1">
      <alignment shrinkToFit="0" vertical="top" wrapText="1"/>
    </xf>
    <xf borderId="0" fillId="7" fontId="8" numFmtId="165" xfId="0" applyAlignment="1" applyFont="1" applyNumberFormat="1">
      <alignment shrinkToFit="0" vertical="top" wrapText="1"/>
    </xf>
    <xf borderId="0" fillId="11" fontId="6" numFmtId="0" xfId="0" applyAlignment="1" applyFont="1">
      <alignment horizontal="left" shrinkToFit="0" vertical="top" wrapText="1"/>
    </xf>
    <xf borderId="0" fillId="4" fontId="8" numFmtId="0" xfId="0" applyAlignment="1" applyFont="1">
      <alignment horizontal="left" shrinkToFit="0" vertical="top" wrapText="1"/>
    </xf>
    <xf borderId="0" fillId="4" fontId="8" numFmtId="165" xfId="0" applyAlignment="1" applyFont="1" applyNumberFormat="1">
      <alignment horizontal="left" shrinkToFit="0" vertical="top" wrapText="1"/>
    </xf>
    <xf borderId="0" fillId="12" fontId="3" numFmtId="0" xfId="0" applyAlignment="1" applyFill="1" applyFont="1">
      <alignment horizontal="left" shrinkToFit="0" vertical="center" wrapText="1"/>
    </xf>
    <xf borderId="0" fillId="12" fontId="3" numFmtId="0" xfId="0" applyAlignment="1" applyFont="1">
      <alignment horizontal="left" vertical="center"/>
    </xf>
    <xf borderId="0" fillId="6" fontId="8" numFmtId="0" xfId="0" applyAlignment="1" applyFont="1">
      <alignment horizontal="center" vertical="center"/>
    </xf>
    <xf borderId="0" fillId="0" fontId="2" numFmtId="167" xfId="0" applyAlignment="1" applyFont="1" applyNumberFormat="1">
      <alignment vertical="center"/>
    </xf>
    <xf borderId="0" fillId="0" fontId="2" numFmtId="166" xfId="0" applyAlignment="1" applyFont="1" applyNumberFormat="1">
      <alignment vertical="center"/>
    </xf>
    <xf borderId="0" fillId="7" fontId="10" numFmtId="0" xfId="0" applyAlignment="1" applyFont="1">
      <alignment vertical="center"/>
    </xf>
    <xf borderId="0" fillId="7" fontId="10" numFmtId="167" xfId="0" applyAlignment="1" applyFont="1" applyNumberFormat="1">
      <alignment vertical="center"/>
    </xf>
    <xf borderId="0" fillId="7" fontId="10" numFmtId="166" xfId="0" applyAlignment="1" applyFont="1" applyNumberFormat="1">
      <alignment vertical="center"/>
    </xf>
    <xf borderId="0" fillId="2" fontId="1" numFmtId="0" xfId="0" applyAlignment="1" applyFont="1">
      <alignment horizontal="left" shrinkToFit="0" vertical="center" wrapText="1"/>
    </xf>
    <xf borderId="0" fillId="5" fontId="3" numFmtId="0" xfId="0" applyAlignment="1" applyFont="1">
      <alignment horizontal="center" shrinkToFit="0" vertical="center" wrapText="1"/>
    </xf>
    <xf borderId="0" fillId="0" fontId="2" numFmtId="0" xfId="0" applyAlignment="1" applyFont="1">
      <alignment shrinkToFit="0" vertical="center" wrapText="1"/>
    </xf>
    <xf borderId="0" fillId="0" fontId="2" numFmtId="164" xfId="0" applyAlignment="1" applyFont="1" applyNumberFormat="1">
      <alignment shrinkToFit="0" vertical="center" wrapText="1"/>
    </xf>
    <xf borderId="0" fillId="0" fontId="2" numFmtId="165" xfId="0" applyAlignment="1" applyFont="1" applyNumberFormat="1">
      <alignment shrinkToFit="0" vertical="center" wrapText="1"/>
    </xf>
    <xf borderId="0" fillId="0" fontId="2" numFmtId="164" xfId="0" applyAlignment="1" applyFont="1" applyNumberFormat="1">
      <alignment vertical="center"/>
    </xf>
    <xf borderId="0" fillId="6" fontId="10" numFmtId="0" xfId="0" applyAlignment="1" applyFont="1">
      <alignment shrinkToFit="0" vertical="center" wrapText="1"/>
    </xf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2">
    <tableStyle count="3" pivot="0" name="Exploitatiekosten-style">
      <tableStyleElement dxfId="1" type="headerRow"/>
      <tableStyleElement dxfId="2" type="firstRowStripe"/>
      <tableStyleElement dxfId="3" type="secondRowStripe"/>
    </tableStyle>
    <tableStyle count="3" pivot="0" name="Cursor_export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0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v>Bedrag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Grafiekdata!$A$4:$A$8</c:f>
            </c:strRef>
          </c:cat>
          <c:val>
            <c:numRef>
              <c:f>Grafiekdata!$B$4:$B$8</c:f>
              <c:numCache/>
            </c:numRef>
          </c:val>
        </c:ser>
        <c:axId val="691850020"/>
        <c:axId val="1967532986"/>
      </c:barChart>
      <c:catAx>
        <c:axId val="6918500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967532986"/>
      </c:catAx>
      <c:valAx>
        <c:axId val="196753298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691850020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0</xdr:colOff>
      <xdr:row>26</xdr:row>
      <xdr:rowOff>0</xdr:rowOff>
    </xdr:from>
    <xdr:ext cx="4114800" cy="2800350"/>
    <xdr:graphicFrame>
      <xdr:nvGraphicFramePr>
        <xdr:cNvPr id="124786270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3:C13" displayName="Table_1" name="Table_1" id="1">
  <tableColumns count="3">
    <tableColumn name="Kostenpost" id="1"/>
    <tableColumn name="Jaarbedrag" id="2"/>
    <tableColumn name="% van huurinkomsten" id="3"/>
  </tableColumns>
  <tableStyleInfo name="Exploitatiekosten-style" showColumnStripes="0" showFirstColumn="1" showLastColumn="1" showRowStripes="1"/>
</table>
</file>

<file path=xl/tables/table2.xml><?xml version="1.0" encoding="utf-8"?>
<table xmlns="http://schemas.openxmlformats.org/spreadsheetml/2006/main" ref="A3:E25" displayName="Table_2" name="Table_2" id="2">
  <tableColumns count="5">
    <tableColumn name="Key" id="1"/>
    <tableColumn name="Value" id="2"/>
    <tableColumn name="Formatted value" id="3"/>
    <tableColumn name="Source" id="4"/>
    <tableColumn name="Omschrijving" id="5"/>
  </tableColumns>
  <tableStyleInfo name="Cursor_export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2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4.0"/>
    <col customWidth="1" min="2" max="2" width="15.75"/>
    <col customWidth="1" min="3" max="3" width="8.13"/>
    <col customWidth="1" min="4" max="4" width="54.0"/>
    <col customWidth="1" min="5" max="26" width="8.63"/>
  </cols>
  <sheetData>
    <row r="1" ht="25.5" customHeight="1">
      <c r="A1" s="1" t="s">
        <v>0</v>
      </c>
      <c r="E1" s="2"/>
      <c r="F1" s="2"/>
      <c r="G1" s="2"/>
      <c r="H1" s="2"/>
      <c r="I1" s="2"/>
      <c r="J1" s="2"/>
      <c r="K1" s="2"/>
    </row>
    <row r="2">
      <c r="A2" s="2"/>
      <c r="B2" s="2"/>
      <c r="C2" s="2"/>
      <c r="D2" s="2"/>
      <c r="E2" s="2"/>
      <c r="F2" s="2"/>
      <c r="G2" s="2"/>
      <c r="H2" s="2"/>
      <c r="I2" s="2"/>
      <c r="J2" s="2"/>
      <c r="K2" s="2"/>
    </row>
    <row r="3">
      <c r="A3" s="3" t="s">
        <v>1</v>
      </c>
      <c r="E3" s="2"/>
      <c r="F3" s="2"/>
      <c r="G3" s="2"/>
      <c r="H3" s="2"/>
      <c r="I3" s="2"/>
      <c r="J3" s="2"/>
      <c r="K3" s="2"/>
    </row>
    <row r="4">
      <c r="A4" s="2" t="s">
        <v>2</v>
      </c>
      <c r="B4" s="4" t="s">
        <v>3</v>
      </c>
      <c r="C4" s="2" t="s">
        <v>4</v>
      </c>
      <c r="D4" s="5" t="s">
        <v>5</v>
      </c>
      <c r="E4" s="2"/>
      <c r="F4" s="2"/>
      <c r="G4" s="2"/>
      <c r="H4" s="2"/>
      <c r="I4" s="2"/>
      <c r="J4" s="2"/>
      <c r="K4" s="2"/>
    </row>
    <row r="5">
      <c r="A5" s="2" t="s">
        <v>6</v>
      </c>
      <c r="B5" s="4" t="s">
        <v>7</v>
      </c>
      <c r="C5" s="2" t="s">
        <v>4</v>
      </c>
      <c r="D5" s="5" t="s">
        <v>5</v>
      </c>
      <c r="E5" s="2"/>
      <c r="F5" s="2"/>
      <c r="G5" s="2"/>
      <c r="H5" s="2"/>
      <c r="I5" s="2"/>
      <c r="J5" s="2"/>
      <c r="K5" s="2"/>
    </row>
    <row r="6">
      <c r="A6" s="2" t="s">
        <v>8</v>
      </c>
      <c r="B6" s="4"/>
      <c r="C6" s="2" t="s">
        <v>4</v>
      </c>
      <c r="D6" s="5" t="s">
        <v>9</v>
      </c>
      <c r="E6" s="2"/>
      <c r="F6" s="2"/>
      <c r="G6" s="2"/>
      <c r="H6" s="2"/>
      <c r="I6" s="2"/>
      <c r="J6" s="2"/>
      <c r="K6" s="2"/>
    </row>
    <row r="7">
      <c r="A7" s="2"/>
      <c r="B7" s="2"/>
      <c r="C7" s="2"/>
      <c r="D7" s="5"/>
      <c r="E7" s="2"/>
      <c r="F7" s="2"/>
      <c r="G7" s="2"/>
      <c r="H7" s="2"/>
      <c r="I7" s="2"/>
      <c r="J7" s="2"/>
      <c r="K7" s="2"/>
    </row>
    <row r="8">
      <c r="A8" s="3" t="s">
        <v>10</v>
      </c>
      <c r="E8" s="2"/>
      <c r="F8" s="2"/>
      <c r="G8" s="2"/>
      <c r="H8" s="2"/>
      <c r="I8" s="2"/>
      <c r="J8" s="2"/>
      <c r="K8" s="2"/>
    </row>
    <row r="9">
      <c r="A9" s="2" t="s">
        <v>11</v>
      </c>
      <c r="B9" s="6">
        <v>300000.0</v>
      </c>
      <c r="C9" s="2" t="s">
        <v>12</v>
      </c>
      <c r="D9" s="5" t="s">
        <v>13</v>
      </c>
      <c r="E9" s="2"/>
      <c r="F9" s="2"/>
      <c r="G9" s="2"/>
      <c r="H9" s="2"/>
      <c r="I9" s="2"/>
      <c r="J9" s="2"/>
      <c r="K9" s="2"/>
    </row>
    <row r="10">
      <c r="A10" s="2" t="s">
        <v>14</v>
      </c>
      <c r="B10" s="7">
        <v>290000.0</v>
      </c>
      <c r="C10" s="2" t="s">
        <v>12</v>
      </c>
      <c r="D10" s="5" t="s">
        <v>15</v>
      </c>
      <c r="E10" s="2"/>
      <c r="F10" s="2"/>
      <c r="G10" s="2"/>
      <c r="H10" s="2"/>
      <c r="I10" s="2"/>
      <c r="J10" s="2"/>
      <c r="K10" s="2"/>
    </row>
    <row r="11">
      <c r="A11" s="2" t="s">
        <v>16</v>
      </c>
      <c r="B11" s="6">
        <v>150000.0</v>
      </c>
      <c r="C11" s="2" t="s">
        <v>12</v>
      </c>
      <c r="D11" s="5" t="s">
        <v>17</v>
      </c>
      <c r="E11" s="2"/>
      <c r="F11" s="2"/>
      <c r="G11" s="2"/>
      <c r="H11" s="2"/>
      <c r="I11" s="2"/>
      <c r="J11" s="2"/>
      <c r="K11" s="2"/>
    </row>
    <row r="12">
      <c r="A12" s="2" t="s">
        <v>18</v>
      </c>
      <c r="B12" s="8">
        <f>B9-B11</f>
        <v>150000</v>
      </c>
      <c r="C12" s="2" t="s">
        <v>12</v>
      </c>
      <c r="D12" s="5" t="s">
        <v>19</v>
      </c>
      <c r="E12" s="2"/>
      <c r="F12" s="2"/>
      <c r="G12" s="2"/>
      <c r="H12" s="2"/>
      <c r="I12" s="2"/>
      <c r="J12" s="2"/>
      <c r="K12" s="2"/>
    </row>
    <row r="13">
      <c r="A13" s="2"/>
      <c r="B13" s="2"/>
      <c r="C13" s="2"/>
      <c r="D13" s="5"/>
      <c r="E13" s="2"/>
      <c r="F13" s="2"/>
      <c r="G13" s="2"/>
      <c r="H13" s="2"/>
      <c r="I13" s="2"/>
      <c r="J13" s="2"/>
      <c r="K13" s="2"/>
    </row>
    <row r="14">
      <c r="A14" s="9" t="s">
        <v>20</v>
      </c>
      <c r="E14" s="2"/>
      <c r="F14" s="2"/>
      <c r="G14" s="2"/>
      <c r="H14" s="2"/>
      <c r="I14" s="2"/>
      <c r="J14" s="2"/>
      <c r="K14" s="2"/>
    </row>
    <row r="15">
      <c r="A15" s="2" t="s">
        <v>21</v>
      </c>
      <c r="B15" s="6">
        <v>1300.0</v>
      </c>
      <c r="C15" s="2" t="s">
        <v>22</v>
      </c>
      <c r="D15" s="5" t="s">
        <v>23</v>
      </c>
      <c r="E15" s="2"/>
      <c r="F15" s="2"/>
      <c r="G15" s="2"/>
      <c r="H15" s="2"/>
      <c r="I15" s="2"/>
      <c r="J15" s="2"/>
      <c r="K15" s="2"/>
    </row>
    <row r="16">
      <c r="A16" s="2" t="s">
        <v>24</v>
      </c>
      <c r="B16" s="8">
        <f>B15*12</f>
        <v>15600</v>
      </c>
      <c r="C16" s="2" t="s">
        <v>25</v>
      </c>
      <c r="D16" s="5" t="s">
        <v>26</v>
      </c>
      <c r="E16" s="2"/>
      <c r="F16" s="2"/>
      <c r="G16" s="2"/>
      <c r="H16" s="2"/>
      <c r="I16" s="2"/>
      <c r="J16" s="2"/>
      <c r="K16" s="2"/>
    </row>
    <row r="17">
      <c r="A17" s="2" t="s">
        <v>27</v>
      </c>
      <c r="B17" s="10">
        <f>IFERROR(B16/B9,0)</f>
        <v>0.052</v>
      </c>
      <c r="C17" s="2" t="s">
        <v>28</v>
      </c>
      <c r="D17" s="5" t="s">
        <v>29</v>
      </c>
      <c r="E17" s="2"/>
      <c r="F17" s="2"/>
      <c r="G17" s="2"/>
      <c r="H17" s="2"/>
      <c r="I17" s="2"/>
      <c r="J17" s="2"/>
      <c r="K17" s="2"/>
    </row>
    <row r="18">
      <c r="A18" s="2"/>
      <c r="B18" s="11"/>
      <c r="C18" s="2"/>
      <c r="D18" s="5"/>
      <c r="E18" s="2"/>
      <c r="F18" s="2"/>
      <c r="G18" s="2"/>
      <c r="H18" s="2"/>
      <c r="I18" s="2"/>
      <c r="J18" s="2"/>
      <c r="K18" s="2"/>
    </row>
    <row r="19">
      <c r="A19" s="12" t="s">
        <v>30</v>
      </c>
      <c r="B19" s="12"/>
      <c r="C19" s="12"/>
      <c r="D19" s="13"/>
      <c r="E19" s="2"/>
      <c r="F19" s="2"/>
      <c r="G19" s="2"/>
      <c r="H19" s="2"/>
      <c r="I19" s="2"/>
      <c r="J19" s="2"/>
      <c r="K19" s="2"/>
    </row>
    <row r="20">
      <c r="A20" s="14" t="s">
        <v>31</v>
      </c>
      <c r="E20" s="2"/>
      <c r="F20" s="2"/>
      <c r="G20" s="2"/>
      <c r="H20" s="2"/>
      <c r="I20" s="2"/>
      <c r="J20" s="2"/>
      <c r="K20" s="2"/>
    </row>
    <row r="21" ht="15.75" customHeight="1">
      <c r="A21" s="15" t="s">
        <v>32</v>
      </c>
      <c r="B21" s="16">
        <f>-B11*B20</f>
        <v>0</v>
      </c>
      <c r="C21" s="17" t="s">
        <v>25</v>
      </c>
      <c r="D21" s="5" t="s">
        <v>33</v>
      </c>
      <c r="E21" s="2"/>
      <c r="F21" s="2"/>
      <c r="G21" s="2"/>
      <c r="H21" s="2"/>
      <c r="I21" s="2"/>
      <c r="J21" s="2"/>
      <c r="K21" s="2"/>
    </row>
    <row r="22" ht="15.75" customHeight="1">
      <c r="A22" s="15" t="s">
        <v>34</v>
      </c>
      <c r="B22" s="16">
        <f>B16+B21</f>
        <v>15600</v>
      </c>
      <c r="C22" s="17" t="s">
        <v>25</v>
      </c>
      <c r="D22" s="5" t="s">
        <v>35</v>
      </c>
      <c r="E22" s="2"/>
      <c r="F22" s="2"/>
      <c r="G22" s="2"/>
      <c r="H22" s="2"/>
      <c r="I22" s="2"/>
      <c r="J22" s="2"/>
      <c r="K22" s="2"/>
    </row>
    <row r="23" ht="15.75" customHeight="1">
      <c r="A23" s="15" t="s">
        <v>36</v>
      </c>
      <c r="B23" s="18">
        <v>0.02</v>
      </c>
      <c r="C23" s="17" t="s">
        <v>28</v>
      </c>
      <c r="D23" s="5" t="s">
        <v>37</v>
      </c>
      <c r="E23" s="2"/>
      <c r="F23" s="2"/>
      <c r="G23" s="2"/>
      <c r="H23" s="2"/>
      <c r="I23" s="2"/>
      <c r="J23" s="2"/>
      <c r="K23" s="2"/>
    </row>
    <row r="24" ht="15.75" customHeight="1">
      <c r="A24" s="15" t="s">
        <v>38</v>
      </c>
      <c r="B24" s="18" t="s">
        <v>39</v>
      </c>
      <c r="C24" s="17" t="s">
        <v>40</v>
      </c>
      <c r="D24" s="5" t="s">
        <v>41</v>
      </c>
      <c r="E24" s="2"/>
      <c r="F24" s="2"/>
      <c r="G24" s="2"/>
      <c r="H24" s="2"/>
      <c r="I24" s="2"/>
      <c r="J24" s="2"/>
      <c r="K24" s="2"/>
    </row>
    <row r="25" ht="15.75" customHeight="1">
      <c r="A25" s="15" t="s">
        <v>42</v>
      </c>
      <c r="B25" s="19">
        <f>-B23*IF(B24="Huurinkomsten",B16,IF(B24="Marktwaarde vastgoed",B9,IF(B24="WOZ-waarde vastgoed",B10,IF(B24="Netto na rente",B22,B16))))</f>
        <v>-312</v>
      </c>
      <c r="C25" s="17" t="s">
        <v>25</v>
      </c>
      <c r="D25" s="5" t="s">
        <v>43</v>
      </c>
      <c r="E25" s="2"/>
      <c r="F25" s="2"/>
      <c r="G25" s="2"/>
      <c r="H25" s="2"/>
      <c r="I25" s="2"/>
      <c r="J25" s="2"/>
      <c r="K25" s="2"/>
    </row>
    <row r="26" ht="15.75" customHeight="1">
      <c r="A26" s="15" t="s">
        <v>44</v>
      </c>
      <c r="B26" s="19">
        <f>SUM(Exploitatiekosten!B5:B11)</f>
        <v>-4780</v>
      </c>
      <c r="C26" s="17" t="s">
        <v>25</v>
      </c>
      <c r="D26" s="5" t="s">
        <v>45</v>
      </c>
      <c r="E26" s="2"/>
      <c r="F26" s="2"/>
      <c r="G26" s="2"/>
      <c r="H26" s="2"/>
      <c r="I26" s="2"/>
      <c r="J26" s="2"/>
      <c r="K26" s="2"/>
    </row>
    <row r="27" ht="15.75" customHeight="1">
      <c r="A27" s="15" t="s">
        <v>46</v>
      </c>
      <c r="B27" s="19">
        <f>B16+B21+B25+B26</f>
        <v>10508</v>
      </c>
      <c r="C27" s="17" t="s">
        <v>25</v>
      </c>
      <c r="D27" s="5" t="s">
        <v>47</v>
      </c>
      <c r="E27" s="2"/>
      <c r="F27" s="2"/>
      <c r="G27" s="2"/>
      <c r="H27" s="2"/>
      <c r="I27" s="2"/>
      <c r="J27" s="2"/>
      <c r="K27" s="2"/>
    </row>
    <row r="28" ht="15.75" customHeight="1">
      <c r="A28" s="15" t="s">
        <v>48</v>
      </c>
      <c r="B28" s="20">
        <f>IFERROR(B27/B9,0)</f>
        <v>0.03502666667</v>
      </c>
      <c r="C28" s="17" t="s">
        <v>28</v>
      </c>
      <c r="D28" s="5" t="s">
        <v>49</v>
      </c>
      <c r="E28" s="2"/>
      <c r="F28" s="2"/>
      <c r="G28" s="2"/>
      <c r="H28" s="2"/>
      <c r="I28" s="2"/>
      <c r="J28" s="2"/>
      <c r="K28" s="2"/>
    </row>
    <row r="29" ht="15.75" customHeight="1">
      <c r="A29" s="15" t="s">
        <v>50</v>
      </c>
      <c r="B29" s="20">
        <f>IFERROR(B27/B12,0)</f>
        <v>0.07005333333</v>
      </c>
      <c r="C29" s="17" t="s">
        <v>28</v>
      </c>
      <c r="D29" s="5" t="s">
        <v>51</v>
      </c>
      <c r="E29" s="2"/>
      <c r="F29" s="2"/>
      <c r="G29" s="2"/>
      <c r="H29" s="2"/>
      <c r="I29" s="2"/>
      <c r="J29" s="2"/>
      <c r="K29" s="2"/>
    </row>
    <row r="30" ht="15.75" customHeight="1">
      <c r="A30" s="15" t="s">
        <v>52</v>
      </c>
      <c r="B30" s="21">
        <v>0.03</v>
      </c>
      <c r="C30" s="17" t="s">
        <v>28</v>
      </c>
      <c r="D30" s="5" t="s">
        <v>53</v>
      </c>
      <c r="E30" s="2"/>
      <c r="F30" s="2"/>
      <c r="G30" s="2"/>
      <c r="H30" s="2"/>
      <c r="I30" s="2"/>
      <c r="J30" s="2"/>
      <c r="K30" s="2"/>
    </row>
    <row r="31" ht="15.75" customHeight="1">
      <c r="A31" s="15" t="s">
        <v>54</v>
      </c>
      <c r="B31" s="20">
        <f>B29+B30</f>
        <v>0.1000533333</v>
      </c>
      <c r="C31" s="17" t="s">
        <v>28</v>
      </c>
      <c r="D31" s="17" t="s">
        <v>55</v>
      </c>
      <c r="E31" s="2"/>
      <c r="F31" s="2"/>
      <c r="G31" s="2"/>
      <c r="H31" s="2"/>
      <c r="I31" s="2"/>
      <c r="J31" s="2"/>
      <c r="K31" s="2"/>
    </row>
    <row r="32" ht="15.75" customHeight="1">
      <c r="A32" s="15"/>
      <c r="B32" s="21"/>
      <c r="C32" s="17"/>
      <c r="D32" s="17"/>
      <c r="E32" s="2"/>
      <c r="F32" s="2"/>
      <c r="G32" s="2"/>
      <c r="H32" s="2"/>
      <c r="I32" s="2"/>
      <c r="J32" s="2"/>
      <c r="K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D1"/>
    <mergeCell ref="A3:D3"/>
    <mergeCell ref="A8:D8"/>
    <mergeCell ref="A14:D14"/>
    <mergeCell ref="A20:D20"/>
  </mergeCells>
  <dataValidations>
    <dataValidation type="list" allowBlank="1" sqref="B24:B25">
      <formula1>"Huurinkomsten,Marktwaarde vastgoed,WOZ-waarde vastgoed,Netto na rente"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4.0"/>
    <col customWidth="1" min="2" max="2" width="18.0"/>
    <col customWidth="1" min="3" max="3" width="22.0"/>
    <col customWidth="1" min="4" max="26" width="8.63"/>
  </cols>
  <sheetData>
    <row r="1" ht="25.5" customHeight="1">
      <c r="A1" s="1" t="s">
        <v>56</v>
      </c>
      <c r="D1" s="2"/>
      <c r="E1" s="2"/>
      <c r="F1" s="2"/>
      <c r="G1" s="2"/>
      <c r="H1" s="2"/>
      <c r="I1" s="2"/>
      <c r="J1" s="2"/>
      <c r="K1" s="2"/>
    </row>
    <row r="2">
      <c r="A2" s="2"/>
      <c r="B2" s="2"/>
      <c r="C2" s="2"/>
      <c r="D2" s="2"/>
      <c r="E2" s="2"/>
      <c r="F2" s="2"/>
      <c r="G2" s="2"/>
      <c r="H2" s="2"/>
      <c r="I2" s="2"/>
      <c r="J2" s="2"/>
      <c r="K2" s="2"/>
    </row>
    <row r="3">
      <c r="A3" s="22" t="s">
        <v>57</v>
      </c>
      <c r="B3" s="22" t="s">
        <v>58</v>
      </c>
      <c r="C3" s="22" t="s">
        <v>59</v>
      </c>
      <c r="D3" s="2"/>
      <c r="E3" s="2"/>
      <c r="F3" s="2"/>
      <c r="G3" s="2"/>
      <c r="H3" s="2"/>
      <c r="I3" s="2"/>
      <c r="J3" s="2"/>
      <c r="K3" s="2"/>
    </row>
    <row r="4">
      <c r="A4" s="23" t="s">
        <v>39</v>
      </c>
      <c r="B4" s="24">
        <f>Input!B16</f>
        <v>15600</v>
      </c>
      <c r="C4" s="25">
        <f t="shared" ref="C4:C11" si="1">B4/$B$4</f>
        <v>1</v>
      </c>
      <c r="D4" s="2"/>
      <c r="E4" s="2"/>
      <c r="F4" s="2"/>
      <c r="G4" s="2"/>
      <c r="H4" s="2"/>
      <c r="I4" s="2"/>
      <c r="J4" s="2"/>
      <c r="K4" s="2"/>
    </row>
    <row r="5">
      <c r="A5" s="23" t="s">
        <v>60</v>
      </c>
      <c r="B5" s="26">
        <v>-750.0</v>
      </c>
      <c r="C5" s="25">
        <f t="shared" si="1"/>
        <v>-0.04807692308</v>
      </c>
      <c r="D5" s="2"/>
      <c r="E5" s="2"/>
      <c r="F5" s="2"/>
      <c r="G5" s="2"/>
      <c r="H5" s="2"/>
      <c r="I5" s="2"/>
      <c r="J5" s="2"/>
      <c r="K5" s="2"/>
    </row>
    <row r="6">
      <c r="A6" s="23" t="s">
        <v>61</v>
      </c>
      <c r="B6" s="26">
        <v>-450.0</v>
      </c>
      <c r="C6" s="25">
        <f t="shared" si="1"/>
        <v>-0.02884615385</v>
      </c>
      <c r="D6" s="2"/>
      <c r="E6" s="2"/>
      <c r="F6" s="2"/>
      <c r="G6" s="2"/>
      <c r="H6" s="2"/>
      <c r="I6" s="2"/>
      <c r="J6" s="2"/>
      <c r="K6" s="2"/>
    </row>
    <row r="7">
      <c r="A7" s="23" t="s">
        <v>62</v>
      </c>
      <c r="B7" s="26">
        <v>-750.0</v>
      </c>
      <c r="C7" s="25">
        <f t="shared" si="1"/>
        <v>-0.04807692308</v>
      </c>
      <c r="D7" s="2"/>
      <c r="E7" s="2"/>
      <c r="F7" s="2"/>
      <c r="G7" s="2"/>
      <c r="H7" s="2"/>
      <c r="I7" s="2"/>
      <c r="J7" s="2"/>
      <c r="K7" s="2"/>
    </row>
    <row r="8">
      <c r="A8" s="23" t="s">
        <v>63</v>
      </c>
      <c r="B8" s="26">
        <v>-1500.0</v>
      </c>
      <c r="C8" s="25">
        <f t="shared" si="1"/>
        <v>-0.09615384615</v>
      </c>
      <c r="D8" s="2"/>
      <c r="E8" s="2"/>
      <c r="F8" s="2"/>
      <c r="G8" s="2"/>
      <c r="H8" s="2"/>
      <c r="I8" s="2"/>
      <c r="J8" s="2"/>
      <c r="K8" s="2"/>
    </row>
    <row r="9">
      <c r="A9" s="23" t="s">
        <v>64</v>
      </c>
      <c r="B9" s="26">
        <v>-400.0</v>
      </c>
      <c r="C9" s="25">
        <f t="shared" si="1"/>
        <v>-0.02564102564</v>
      </c>
      <c r="D9" s="2"/>
      <c r="E9" s="2"/>
      <c r="F9" s="2"/>
      <c r="G9" s="2"/>
      <c r="H9" s="2"/>
      <c r="I9" s="2"/>
      <c r="J9" s="2"/>
      <c r="K9" s="2"/>
    </row>
    <row r="10">
      <c r="A10" s="23" t="s">
        <v>65</v>
      </c>
      <c r="B10" s="26">
        <v>-400.0</v>
      </c>
      <c r="C10" s="25">
        <f t="shared" si="1"/>
        <v>-0.02564102564</v>
      </c>
      <c r="D10" s="2"/>
      <c r="E10" s="2"/>
      <c r="F10" s="2"/>
      <c r="G10" s="2"/>
      <c r="H10" s="2"/>
      <c r="I10" s="2"/>
      <c r="J10" s="2"/>
      <c r="K10" s="2"/>
    </row>
    <row r="11">
      <c r="A11" s="23" t="s">
        <v>66</v>
      </c>
      <c r="B11" s="26">
        <v>-530.0</v>
      </c>
      <c r="C11" s="25">
        <f t="shared" si="1"/>
        <v>-0.03397435897</v>
      </c>
      <c r="D11" s="2"/>
      <c r="E11" s="2"/>
      <c r="F11" s="2"/>
      <c r="G11" s="2"/>
      <c r="H11" s="2"/>
      <c r="I11" s="2"/>
      <c r="J11" s="2"/>
      <c r="K11" s="2"/>
    </row>
    <row r="12">
      <c r="A12" s="23"/>
      <c r="B12" s="27"/>
      <c r="C12" s="25"/>
      <c r="D12" s="2"/>
      <c r="E12" s="2"/>
      <c r="F12" s="2"/>
      <c r="G12" s="2"/>
      <c r="H12" s="2"/>
      <c r="I12" s="2"/>
      <c r="J12" s="2"/>
      <c r="K12" s="2"/>
    </row>
    <row r="13">
      <c r="A13" s="23" t="s">
        <v>67</v>
      </c>
      <c r="B13" s="28">
        <f>SUM(B5:B11)</f>
        <v>-4780</v>
      </c>
      <c r="C13" s="29">
        <f>B13/$B$4</f>
        <v>-0.3064102564</v>
      </c>
      <c r="D13" s="2"/>
      <c r="E13" s="2"/>
      <c r="F13" s="2"/>
      <c r="G13" s="2"/>
      <c r="H13" s="2"/>
      <c r="I13" s="2"/>
      <c r="J13" s="2"/>
      <c r="K13" s="2"/>
    </row>
    <row r="1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</row>
    <row r="1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</row>
    <row r="1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</row>
    <row r="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C1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40.25"/>
    <col customWidth="1" min="2" max="2" width="8.88"/>
    <col customWidth="1" min="3" max="3" width="6.38"/>
    <col customWidth="1" min="4" max="4" width="12.0"/>
    <col customWidth="1" min="5" max="5" width="2.0"/>
    <col customWidth="1" min="6" max="6" width="34.0"/>
    <col customWidth="1" min="7" max="7" width="2.0"/>
    <col customWidth="1" min="8" max="8" width="16.0"/>
    <col customWidth="1" min="9" max="26" width="8.63"/>
  </cols>
  <sheetData>
    <row r="1" ht="27.75" customHeight="1">
      <c r="A1" s="1" t="s">
        <v>68</v>
      </c>
      <c r="I1" s="2"/>
      <c r="J1" s="2"/>
      <c r="K1" s="2"/>
    </row>
    <row r="2" ht="7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</row>
    <row r="3" ht="21.75" customHeight="1">
      <c r="A3" s="3" t="s">
        <v>69</v>
      </c>
      <c r="E3" s="2"/>
      <c r="F3" s="3" t="s">
        <v>70</v>
      </c>
      <c r="I3" s="2"/>
      <c r="J3" s="2"/>
      <c r="K3" s="2"/>
    </row>
    <row r="4" ht="6.0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</row>
    <row r="5">
      <c r="A5" s="30" t="s">
        <v>71</v>
      </c>
      <c r="E5" s="2"/>
      <c r="F5" s="31" t="s">
        <v>11</v>
      </c>
      <c r="G5" s="31"/>
      <c r="H5" s="32">
        <f>Input!B9</f>
        <v>300000</v>
      </c>
      <c r="I5" s="2"/>
      <c r="J5" s="2"/>
      <c r="K5" s="2"/>
    </row>
    <row r="6">
      <c r="E6" s="2"/>
      <c r="F6" s="31" t="s">
        <v>14</v>
      </c>
      <c r="G6" s="31"/>
      <c r="H6" s="32">
        <f>Input!B10</f>
        <v>290000</v>
      </c>
      <c r="I6" s="2"/>
      <c r="J6" s="2"/>
      <c r="K6" s="2"/>
    </row>
    <row r="7">
      <c r="E7" s="2"/>
      <c r="F7" s="31" t="s">
        <v>21</v>
      </c>
      <c r="G7" s="31"/>
      <c r="H7" s="32">
        <f>Input!B15</f>
        <v>1300</v>
      </c>
      <c r="I7" s="2"/>
      <c r="J7" s="2"/>
      <c r="K7" s="2"/>
    </row>
    <row r="8">
      <c r="E8" s="2"/>
      <c r="F8" s="31" t="s">
        <v>24</v>
      </c>
      <c r="G8" s="31"/>
      <c r="H8" s="32">
        <f>Input!B16</f>
        <v>15600</v>
      </c>
      <c r="I8" s="2"/>
      <c r="J8" s="2"/>
      <c r="K8" s="2"/>
    </row>
    <row r="9">
      <c r="E9" s="2"/>
      <c r="F9" s="31" t="s">
        <v>72</v>
      </c>
      <c r="G9" s="31"/>
      <c r="H9" s="33">
        <f>Input!B17</f>
        <v>0.052</v>
      </c>
      <c r="I9" s="2"/>
      <c r="J9" s="2"/>
      <c r="K9" s="2"/>
    </row>
    <row r="10">
      <c r="E10" s="2"/>
      <c r="F10" s="31" t="s">
        <v>16</v>
      </c>
      <c r="G10" s="31"/>
      <c r="H10" s="32">
        <f>Input!B11</f>
        <v>150000</v>
      </c>
      <c r="I10" s="2"/>
      <c r="J10" s="2"/>
      <c r="K10" s="2"/>
    </row>
    <row r="11">
      <c r="E11" s="2"/>
      <c r="F11" s="31" t="s">
        <v>73</v>
      </c>
      <c r="G11" s="31"/>
      <c r="H11" s="33" t="str">
        <f>Input!B20</f>
        <v/>
      </c>
      <c r="I11" s="2"/>
      <c r="J11" s="2"/>
      <c r="K11" s="2"/>
    </row>
    <row r="12">
      <c r="E12" s="2"/>
      <c r="F12" s="31" t="s">
        <v>32</v>
      </c>
      <c r="G12" s="31"/>
      <c r="H12" s="32">
        <f>Input!B21</f>
        <v>0</v>
      </c>
      <c r="I12" s="2"/>
      <c r="J12" s="2"/>
      <c r="K12" s="2"/>
    </row>
    <row r="13">
      <c r="E13" s="2"/>
      <c r="F13" s="31" t="s">
        <v>34</v>
      </c>
      <c r="G13" s="31"/>
      <c r="H13" s="32">
        <f>Input!B22</f>
        <v>15600</v>
      </c>
      <c r="I13" s="2"/>
      <c r="J13" s="2"/>
      <c r="K13" s="2"/>
    </row>
    <row r="14">
      <c r="A14" s="2"/>
      <c r="B14" s="2"/>
      <c r="C14" s="2"/>
      <c r="D14" s="2"/>
      <c r="E14" s="2"/>
      <c r="F14" s="34" t="s">
        <v>74</v>
      </c>
      <c r="G14" s="34"/>
      <c r="H14" s="35">
        <f>Input!B26</f>
        <v>-4780</v>
      </c>
      <c r="I14" s="2"/>
      <c r="J14" s="2"/>
      <c r="K14" s="2"/>
    </row>
    <row r="15">
      <c r="A15" s="2"/>
      <c r="B15" s="2"/>
      <c r="C15" s="2"/>
      <c r="D15" s="2"/>
      <c r="E15" s="2"/>
      <c r="F15" s="31" t="str">
        <f>"Vermogensbelasting ("&amp;TEXT(Input!B23,"0.0%")&amp;" van "&amp;Input!B24&amp;")"</f>
        <v>Vermogensbelasting (2,0% van Huurinkomsten)</v>
      </c>
      <c r="G15" s="31"/>
      <c r="H15" s="32">
        <f>Input!B25</f>
        <v>-312</v>
      </c>
      <c r="I15" s="2"/>
      <c r="J15" s="2"/>
      <c r="K15" s="2"/>
    </row>
    <row r="16">
      <c r="A16" s="2"/>
      <c r="B16" s="2"/>
      <c r="C16" s="2"/>
      <c r="D16" s="2"/>
      <c r="E16" s="2"/>
      <c r="F16" s="34" t="s">
        <v>46</v>
      </c>
      <c r="G16" s="34"/>
      <c r="H16" s="35">
        <f>Input!B27</f>
        <v>10508</v>
      </c>
      <c r="I16" s="2"/>
      <c r="J16" s="2"/>
      <c r="K16" s="2"/>
    </row>
    <row r="17">
      <c r="A17" s="2"/>
      <c r="B17" s="2"/>
      <c r="C17" s="2"/>
      <c r="D17" s="2"/>
      <c r="E17" s="2"/>
      <c r="F17" s="34" t="s">
        <v>48</v>
      </c>
      <c r="G17" s="34"/>
      <c r="H17" s="36">
        <f>Input!B28</f>
        <v>0.03502666667</v>
      </c>
      <c r="I17" s="2"/>
      <c r="J17" s="2"/>
      <c r="K17" s="2"/>
    </row>
    <row r="18">
      <c r="A18" s="2"/>
      <c r="B18" s="2"/>
      <c r="C18" s="2"/>
      <c r="D18" s="2"/>
      <c r="E18" s="2"/>
      <c r="F18" s="37" t="s">
        <v>50</v>
      </c>
      <c r="G18" s="37"/>
      <c r="H18" s="38">
        <f>Input!B29</f>
        <v>0.07005333333</v>
      </c>
      <c r="I18" s="2"/>
      <c r="J18" s="2"/>
      <c r="K18" s="2"/>
    </row>
    <row r="19">
      <c r="A19" s="2"/>
      <c r="B19" s="2"/>
      <c r="C19" s="2"/>
      <c r="D19" s="2"/>
      <c r="E19" s="2"/>
      <c r="F19" s="37" t="s">
        <v>75</v>
      </c>
      <c r="G19" s="37"/>
      <c r="H19" s="38">
        <f>Input!B30</f>
        <v>0.03</v>
      </c>
      <c r="I19" s="2"/>
      <c r="J19" s="2"/>
      <c r="K19" s="2"/>
    </row>
    <row r="20" ht="18.0" customHeight="1">
      <c r="A20" s="39"/>
      <c r="B20" s="39"/>
      <c r="C20" s="39"/>
      <c r="D20" s="39"/>
      <c r="E20" s="39"/>
      <c r="F20" s="40" t="s">
        <v>54</v>
      </c>
      <c r="G20" s="40"/>
      <c r="H20" s="41">
        <f>Input!B31</f>
        <v>0.1000533333</v>
      </c>
      <c r="I20" s="2"/>
      <c r="J20" s="2"/>
      <c r="K20" s="2"/>
    </row>
    <row r="21" ht="18.0" customHeight="1">
      <c r="A21" s="42"/>
      <c r="B21" s="42"/>
      <c r="C21" s="42"/>
      <c r="D21" s="42"/>
      <c r="E21" s="42"/>
      <c r="F21" s="43"/>
      <c r="G21" s="43"/>
      <c r="H21" s="44"/>
      <c r="I21" s="2"/>
      <c r="J21" s="2"/>
      <c r="K21" s="2"/>
    </row>
    <row r="22" ht="21.75" customHeight="1">
      <c r="A22" s="45" t="s">
        <v>76</v>
      </c>
      <c r="B22" s="45"/>
      <c r="C22" s="45"/>
      <c r="D22" s="45"/>
      <c r="E22" s="45"/>
      <c r="F22" s="45"/>
      <c r="G22" s="45"/>
      <c r="H22" s="45"/>
      <c r="I22" s="2"/>
      <c r="J22" s="2"/>
      <c r="K22" s="2"/>
    </row>
    <row r="23" ht="27.75" customHeight="1">
      <c r="A23" s="39" t="str">
        <f>"Het bruto rendement op marktwaarde bedraagt "&amp;TEXT(Input!B17,"0.0%")&amp;". "&amp;"Na rente resteert "&amp;SUBSTITUTE(TEXT(Input!B22,"€ #,##0"),",",".")&amp;" per jaar. "&amp;"Na exploitatiekosten en vermogensbelasting blijft er "&amp;SUBSTITUTE(TEXT(Input!B27,"€ #,##0"),",",".")&amp;" aan netto huurinkomsten over. "&amp;"Daarmee komt het netto rendement op eigen inleg uit op "&amp;TEXT(Input!B29,"0.0%")&amp;". "&amp;"Inclusief een gemiddelde waardestijging van "&amp;TEXT(Input!B30,"0.0%")&amp;" komt het totaal uit op "&amp;TEXT(Input!B31,"0.0%")&amp;"."&amp;CHAR(10)&amp;"Voor iedere belegger is de box 3-situatie persoonsgebonden. In dit rekenvoorbeeld is ervan uitgegaan dat de belegger meer vermogen heeft, waardoor op deze casus geen heffingsvrij vermogen en geen schuldendrempel worden toegepast."</f>
        <v>Het bruto rendement op marktwaarde bedraagt 5,2%. Na rente resteert € 15.600 per jaar. Na exploitatiekosten en vermogensbelasting blijft er € 10.508 aan netto huurinkomsten over. Daarmee komt het netto rendement op eigen inleg uit op 7,0%. Inclusief een gemiddelde waardestijging van 3,0% komt het totaal uit op 10,0%.
Voor iedere belegger is de box 3-situatie persoonsgebonden. In dit rekenvoorbeeld is ervan uitgegaan dat de belegger meer vermogen heeft, waardoor op deze casus geen heffingsvrij vermogen en geen schuldendrempel worden toegepast.</v>
      </c>
      <c r="I23" s="2"/>
      <c r="J23" s="2"/>
      <c r="K23" s="2"/>
    </row>
    <row r="24" ht="27.75" customHeight="1">
      <c r="I24" s="2"/>
      <c r="J24" s="2"/>
      <c r="K24" s="2"/>
    </row>
    <row r="25" ht="27.75" customHeight="1">
      <c r="I25" s="2"/>
      <c r="J25" s="2"/>
      <c r="K25" s="2"/>
    </row>
    <row r="26" ht="21.75" customHeight="1">
      <c r="A26" s="46" t="s">
        <v>74</v>
      </c>
      <c r="E26" s="2"/>
      <c r="F26" s="2"/>
      <c r="G26" s="2"/>
      <c r="H26" s="2"/>
      <c r="I26" s="2"/>
      <c r="J26" s="2"/>
      <c r="K26" s="2"/>
    </row>
    <row r="27" ht="15.75" customHeight="1">
      <c r="A27" s="47" t="s">
        <v>57</v>
      </c>
      <c r="B27" s="47" t="s">
        <v>58</v>
      </c>
      <c r="C27" s="47" t="s">
        <v>77</v>
      </c>
      <c r="D27" s="2"/>
      <c r="E27" s="2"/>
      <c r="F27" s="2"/>
      <c r="G27" s="2"/>
      <c r="H27" s="2"/>
      <c r="I27" s="2"/>
      <c r="J27" s="2"/>
      <c r="K27" s="2"/>
    </row>
    <row r="28" ht="15.75" customHeight="1">
      <c r="A28" s="2" t="s">
        <v>60</v>
      </c>
      <c r="B28" s="48">
        <f>Exploitatiekosten!B5</f>
        <v>-750</v>
      </c>
      <c r="C28" s="49">
        <f>Exploitatiekosten!C5</f>
        <v>-0.04807692308</v>
      </c>
      <c r="D28" s="2"/>
      <c r="E28" s="2"/>
      <c r="F28" s="2"/>
      <c r="G28" s="2"/>
      <c r="H28" s="2"/>
      <c r="I28" s="2"/>
      <c r="J28" s="2"/>
      <c r="K28" s="2"/>
    </row>
    <row r="29" ht="15.75" customHeight="1">
      <c r="A29" s="2" t="s">
        <v>61</v>
      </c>
      <c r="B29" s="48">
        <f>Exploitatiekosten!B6</f>
        <v>-450</v>
      </c>
      <c r="C29" s="49">
        <f>Exploitatiekosten!C6</f>
        <v>-0.02884615385</v>
      </c>
      <c r="D29" s="2"/>
      <c r="E29" s="2"/>
      <c r="F29" s="2"/>
      <c r="G29" s="2"/>
      <c r="H29" s="2"/>
      <c r="I29" s="2"/>
      <c r="J29" s="2"/>
      <c r="K29" s="2"/>
    </row>
    <row r="30" ht="15.75" customHeight="1">
      <c r="A30" s="2" t="s">
        <v>62</v>
      </c>
      <c r="B30" s="48">
        <f>Exploitatiekosten!B7</f>
        <v>-750</v>
      </c>
      <c r="C30" s="49">
        <f>Exploitatiekosten!C7</f>
        <v>-0.04807692308</v>
      </c>
      <c r="D30" s="2"/>
      <c r="E30" s="2"/>
      <c r="F30" s="2"/>
      <c r="G30" s="2"/>
      <c r="H30" s="2"/>
      <c r="I30" s="2"/>
      <c r="J30" s="2"/>
      <c r="K30" s="2"/>
    </row>
    <row r="31" ht="15.75" customHeight="1">
      <c r="A31" s="2" t="s">
        <v>63</v>
      </c>
      <c r="B31" s="48">
        <f>Exploitatiekosten!B8</f>
        <v>-1500</v>
      </c>
      <c r="C31" s="49">
        <f>Exploitatiekosten!C8</f>
        <v>-0.09615384615</v>
      </c>
      <c r="D31" s="2"/>
      <c r="E31" s="2"/>
      <c r="F31" s="2"/>
      <c r="G31" s="2"/>
      <c r="H31" s="2"/>
      <c r="I31" s="2"/>
      <c r="J31" s="2"/>
      <c r="K31" s="2"/>
    </row>
    <row r="32" ht="15.75" customHeight="1">
      <c r="A32" s="2" t="s">
        <v>64</v>
      </c>
      <c r="B32" s="48">
        <f>Exploitatiekosten!B9</f>
        <v>-400</v>
      </c>
      <c r="C32" s="49">
        <f>Exploitatiekosten!C9</f>
        <v>-0.02564102564</v>
      </c>
      <c r="D32" s="2"/>
      <c r="E32" s="2"/>
      <c r="F32" s="2"/>
      <c r="G32" s="2"/>
      <c r="H32" s="2"/>
      <c r="I32" s="2"/>
      <c r="J32" s="2"/>
      <c r="K32" s="2"/>
    </row>
    <row r="33" ht="15.75" customHeight="1">
      <c r="A33" s="2" t="s">
        <v>65</v>
      </c>
      <c r="B33" s="48">
        <f>Exploitatiekosten!B10</f>
        <v>-400</v>
      </c>
      <c r="C33" s="49">
        <f>Exploitatiekosten!C10</f>
        <v>-0.02564102564</v>
      </c>
      <c r="D33" s="2"/>
      <c r="E33" s="2"/>
      <c r="F33" s="2"/>
      <c r="G33" s="2"/>
      <c r="H33" s="2"/>
      <c r="I33" s="2"/>
      <c r="J33" s="2"/>
      <c r="K33" s="2"/>
    </row>
    <row r="34" ht="15.75" customHeight="1">
      <c r="A34" s="2" t="s">
        <v>66</v>
      </c>
      <c r="B34" s="48">
        <f>Exploitatiekosten!B11</f>
        <v>-530</v>
      </c>
      <c r="C34" s="49">
        <f>Exploitatiekosten!C11</f>
        <v>-0.03397435897</v>
      </c>
      <c r="D34" s="2"/>
      <c r="E34" s="2"/>
      <c r="F34" s="2"/>
      <c r="G34" s="2"/>
      <c r="H34" s="2"/>
      <c r="I34" s="2"/>
      <c r="J34" s="2"/>
      <c r="K34" s="2"/>
    </row>
    <row r="35" ht="15.75" customHeight="1">
      <c r="A35" s="50" t="s">
        <v>78</v>
      </c>
      <c r="B35" s="51">
        <f>Exploitatiekosten!B13</f>
        <v>-4780</v>
      </c>
      <c r="C35" s="52">
        <f>Exploitatiekosten!C13</f>
        <v>-0.3064102564</v>
      </c>
      <c r="D35" s="2"/>
      <c r="E35" s="2"/>
      <c r="F35" s="2"/>
      <c r="G35" s="2"/>
      <c r="H35" s="2"/>
      <c r="I35" s="2"/>
      <c r="J35" s="2"/>
      <c r="K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A1:H1"/>
    <mergeCell ref="A3:D3"/>
    <mergeCell ref="F3:H3"/>
    <mergeCell ref="A5:D13"/>
    <mergeCell ref="A23:H25"/>
    <mergeCell ref="A26:D26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240.25"/>
    <col customWidth="1" min="4" max="4" width="16.75"/>
    <col customWidth="1" min="5" max="5" width="54.0"/>
    <col customWidth="1" min="6" max="26" width="8.63"/>
  </cols>
  <sheetData>
    <row r="1">
      <c r="A1" s="53" t="s">
        <v>79</v>
      </c>
      <c r="F1" s="2"/>
      <c r="G1" s="2"/>
      <c r="H1" s="2"/>
      <c r="I1" s="2"/>
      <c r="J1" s="2"/>
      <c r="K1" s="2"/>
    </row>
    <row r="2">
      <c r="A2" s="17"/>
      <c r="B2" s="17"/>
      <c r="C2" s="17"/>
      <c r="D2" s="17"/>
      <c r="E2" s="17"/>
      <c r="F2" s="2"/>
      <c r="G2" s="2"/>
      <c r="H2" s="2"/>
      <c r="I2" s="2"/>
      <c r="J2" s="2"/>
      <c r="K2" s="2"/>
    </row>
    <row r="3">
      <c r="A3" s="54" t="s">
        <v>80</v>
      </c>
      <c r="B3" s="54" t="s">
        <v>81</v>
      </c>
      <c r="C3" s="54" t="s">
        <v>82</v>
      </c>
      <c r="D3" s="54" t="s">
        <v>83</v>
      </c>
      <c r="E3" s="54" t="s">
        <v>84</v>
      </c>
      <c r="F3" s="2"/>
      <c r="G3" s="2"/>
      <c r="H3" s="2"/>
      <c r="I3" s="2"/>
      <c r="J3" s="2"/>
      <c r="K3" s="2"/>
    </row>
    <row r="4">
      <c r="A4" s="55" t="s">
        <v>85</v>
      </c>
      <c r="B4" s="55" t="str">
        <f>Input!B4</f>
        <v>Voorbeeldobject</v>
      </c>
      <c r="C4" s="55" t="str">
        <f t="shared" ref="C4:C6" si="1">B4</f>
        <v>Voorbeeldobject</v>
      </c>
      <c r="D4" s="55" t="s">
        <v>86</v>
      </c>
      <c r="E4" s="55" t="s">
        <v>87</v>
      </c>
      <c r="F4" s="2"/>
      <c r="G4" s="2"/>
      <c r="H4" s="2"/>
      <c r="I4" s="2"/>
      <c r="J4" s="2"/>
      <c r="K4" s="2"/>
    </row>
    <row r="5">
      <c r="A5" s="55" t="s">
        <v>88</v>
      </c>
      <c r="B5" s="55" t="str">
        <f>Input!B5</f>
        <v>Straatnaam 1, Plaats</v>
      </c>
      <c r="C5" s="55" t="str">
        <f t="shared" si="1"/>
        <v>Straatnaam 1, Plaats</v>
      </c>
      <c r="D5" s="55" t="s">
        <v>89</v>
      </c>
      <c r="E5" s="55" t="s">
        <v>90</v>
      </c>
      <c r="F5" s="2"/>
      <c r="G5" s="2"/>
      <c r="H5" s="2"/>
      <c r="I5" s="2"/>
      <c r="J5" s="2"/>
      <c r="K5" s="2"/>
    </row>
    <row r="6">
      <c r="A6" s="55" t="s">
        <v>91</v>
      </c>
      <c r="B6" s="55" t="str">
        <f>IF(Input!B6="","",Input!B6)</f>
        <v/>
      </c>
      <c r="C6" s="55" t="str">
        <f t="shared" si="1"/>
        <v/>
      </c>
      <c r="D6" s="55" t="s">
        <v>92</v>
      </c>
      <c r="E6" s="55" t="s">
        <v>93</v>
      </c>
      <c r="F6" s="2"/>
      <c r="G6" s="2"/>
      <c r="H6" s="2"/>
      <c r="I6" s="2"/>
      <c r="J6" s="2"/>
      <c r="K6" s="2"/>
    </row>
    <row r="7">
      <c r="A7" s="55" t="s">
        <v>94</v>
      </c>
      <c r="B7" s="56">
        <f>Input!B9</f>
        <v>300000</v>
      </c>
      <c r="C7" s="55" t="str">
        <f t="shared" ref="C7:C12" si="2">SUBSTITUTE(TEXT(B7,"€ #,##0"),",",".")</f>
        <v>€ 300.000</v>
      </c>
      <c r="D7" s="55" t="s">
        <v>95</v>
      </c>
      <c r="E7" s="55" t="s">
        <v>96</v>
      </c>
      <c r="F7" s="2"/>
      <c r="G7" s="2"/>
      <c r="H7" s="2"/>
      <c r="I7" s="2"/>
      <c r="J7" s="2"/>
      <c r="K7" s="2"/>
    </row>
    <row r="8">
      <c r="A8" s="55" t="s">
        <v>97</v>
      </c>
      <c r="B8" s="56">
        <f>Input!B10</f>
        <v>290000</v>
      </c>
      <c r="C8" s="55" t="str">
        <f t="shared" si="2"/>
        <v>€ 290.000</v>
      </c>
      <c r="D8" s="55" t="s">
        <v>98</v>
      </c>
      <c r="E8" s="55" t="s">
        <v>99</v>
      </c>
      <c r="F8" s="2"/>
      <c r="G8" s="2"/>
      <c r="H8" s="2"/>
      <c r="I8" s="2"/>
      <c r="J8" s="2"/>
      <c r="K8" s="2"/>
    </row>
    <row r="9">
      <c r="A9" s="55" t="s">
        <v>100</v>
      </c>
      <c r="B9" s="56">
        <f>Input!B11</f>
        <v>150000</v>
      </c>
      <c r="C9" s="55" t="str">
        <f t="shared" si="2"/>
        <v>€ 150.000</v>
      </c>
      <c r="D9" s="55" t="s">
        <v>101</v>
      </c>
      <c r="E9" s="55" t="s">
        <v>16</v>
      </c>
      <c r="F9" s="2"/>
      <c r="G9" s="2"/>
      <c r="H9" s="2"/>
      <c r="I9" s="2"/>
      <c r="J9" s="2"/>
      <c r="K9" s="2"/>
    </row>
    <row r="10">
      <c r="A10" s="55" t="s">
        <v>102</v>
      </c>
      <c r="B10" s="56">
        <f>Input!B12</f>
        <v>150000</v>
      </c>
      <c r="C10" s="55" t="str">
        <f t="shared" si="2"/>
        <v>€ 150.000</v>
      </c>
      <c r="D10" s="55" t="s">
        <v>103</v>
      </c>
      <c r="E10" s="55" t="s">
        <v>104</v>
      </c>
      <c r="F10" s="2"/>
      <c r="G10" s="2"/>
      <c r="H10" s="2"/>
      <c r="I10" s="2"/>
      <c r="J10" s="2"/>
      <c r="K10" s="2"/>
    </row>
    <row r="11">
      <c r="A11" s="55" t="s">
        <v>105</v>
      </c>
      <c r="B11" s="56">
        <f>Input!B15</f>
        <v>1300</v>
      </c>
      <c r="C11" s="55" t="str">
        <f t="shared" si="2"/>
        <v>€ 1.300</v>
      </c>
      <c r="D11" s="55" t="s">
        <v>106</v>
      </c>
      <c r="E11" s="55" t="s">
        <v>107</v>
      </c>
      <c r="F11" s="2"/>
      <c r="G11" s="2"/>
      <c r="H11" s="2"/>
      <c r="I11" s="2"/>
      <c r="J11" s="2"/>
      <c r="K11" s="2"/>
    </row>
    <row r="12">
      <c r="A12" s="55" t="s">
        <v>108</v>
      </c>
      <c r="B12" s="56">
        <f>Input!B16</f>
        <v>15600</v>
      </c>
      <c r="C12" s="55" t="str">
        <f t="shared" si="2"/>
        <v>€ 15.600</v>
      </c>
      <c r="D12" s="55" t="s">
        <v>109</v>
      </c>
      <c r="E12" s="55" t="s">
        <v>110</v>
      </c>
      <c r="F12" s="2"/>
      <c r="G12" s="2"/>
      <c r="H12" s="2"/>
      <c r="I12" s="2"/>
      <c r="J12" s="2"/>
      <c r="K12" s="2"/>
    </row>
    <row r="13">
      <c r="A13" s="55" t="s">
        <v>111</v>
      </c>
      <c r="B13" s="57">
        <f>Input!B17</f>
        <v>0.052</v>
      </c>
      <c r="C13" s="55" t="str">
        <f t="shared" ref="C13:C14" si="3">TEXT(B13,"0.0%")</f>
        <v>5,2%</v>
      </c>
      <c r="D13" s="55" t="s">
        <v>112</v>
      </c>
      <c r="E13" s="55" t="s">
        <v>113</v>
      </c>
      <c r="F13" s="2"/>
      <c r="G13" s="2"/>
      <c r="H13" s="2"/>
      <c r="I13" s="2"/>
      <c r="J13" s="2"/>
      <c r="K13" s="2"/>
    </row>
    <row r="14">
      <c r="A14" s="55" t="s">
        <v>114</v>
      </c>
      <c r="B14" s="57" t="str">
        <f>Input!B20</f>
        <v/>
      </c>
      <c r="C14" s="55" t="str">
        <f t="shared" si="3"/>
        <v>0,0%</v>
      </c>
      <c r="D14" s="55" t="s">
        <v>115</v>
      </c>
      <c r="E14" s="55" t="s">
        <v>31</v>
      </c>
      <c r="F14" s="2"/>
      <c r="G14" s="2"/>
      <c r="H14" s="2"/>
      <c r="I14" s="2"/>
      <c r="J14" s="2"/>
      <c r="K14" s="2"/>
    </row>
    <row r="15">
      <c r="A15" s="55" t="s">
        <v>116</v>
      </c>
      <c r="B15" s="56">
        <f>Input!B21</f>
        <v>0</v>
      </c>
      <c r="C15" s="55" t="str">
        <f t="shared" ref="C15:C17" si="4">SUBSTITUTE(TEXT(B15,"€ #,##0"),",",".")</f>
        <v>€ 0</v>
      </c>
      <c r="D15" s="55" t="s">
        <v>117</v>
      </c>
      <c r="E15" s="55" t="s">
        <v>118</v>
      </c>
      <c r="F15" s="2"/>
      <c r="G15" s="2"/>
      <c r="H15" s="2"/>
      <c r="I15" s="2"/>
      <c r="J15" s="2"/>
      <c r="K15" s="2"/>
    </row>
    <row r="16">
      <c r="A16" s="55" t="s">
        <v>119</v>
      </c>
      <c r="B16" s="56">
        <f>Input!B22</f>
        <v>15600</v>
      </c>
      <c r="C16" s="55" t="str">
        <f t="shared" si="4"/>
        <v>€ 15.600</v>
      </c>
      <c r="D16" s="55" t="s">
        <v>120</v>
      </c>
      <c r="E16" s="55" t="s">
        <v>35</v>
      </c>
      <c r="F16" s="2"/>
      <c r="G16" s="2"/>
      <c r="H16" s="2"/>
      <c r="I16" s="2"/>
      <c r="J16" s="2"/>
      <c r="K16" s="2"/>
    </row>
    <row r="17">
      <c r="A17" s="55" t="s">
        <v>121</v>
      </c>
      <c r="B17" s="56">
        <f>Input!B26</f>
        <v>-4780</v>
      </c>
      <c r="C17" s="55" t="str">
        <f t="shared" si="4"/>
        <v>-€ 4.780</v>
      </c>
      <c r="D17" s="55" t="s">
        <v>122</v>
      </c>
      <c r="E17" s="55" t="s">
        <v>67</v>
      </c>
      <c r="F17" s="2"/>
      <c r="G17" s="2"/>
      <c r="H17" s="2"/>
      <c r="I17" s="2"/>
      <c r="J17" s="2"/>
      <c r="K17" s="2"/>
    </row>
    <row r="18">
      <c r="A18" s="55" t="s">
        <v>123</v>
      </c>
      <c r="B18" s="57">
        <f>Input!B23</f>
        <v>0.02</v>
      </c>
      <c r="C18" s="55" t="str">
        <f>TEXT(B18,"0.0%")</f>
        <v>2,0%</v>
      </c>
      <c r="D18" s="55" t="s">
        <v>124</v>
      </c>
      <c r="E18" s="55" t="s">
        <v>36</v>
      </c>
      <c r="F18" s="2"/>
      <c r="G18" s="2"/>
      <c r="H18" s="2"/>
      <c r="I18" s="2"/>
      <c r="J18" s="2"/>
      <c r="K18" s="2"/>
    </row>
    <row r="19">
      <c r="A19" s="55" t="s">
        <v>125</v>
      </c>
      <c r="B19" s="57" t="str">
        <f>Input!B24</f>
        <v>Huurinkomsten</v>
      </c>
      <c r="C19" s="57" t="str">
        <f>B19</f>
        <v>Huurinkomsten</v>
      </c>
      <c r="D19" s="55" t="s">
        <v>126</v>
      </c>
      <c r="E19" s="55" t="s">
        <v>127</v>
      </c>
      <c r="F19" s="2"/>
      <c r="G19" s="2"/>
      <c r="H19" s="2"/>
      <c r="I19" s="2"/>
      <c r="J19" s="2"/>
      <c r="K19" s="2"/>
    </row>
    <row r="20">
      <c r="A20" s="55" t="s">
        <v>128</v>
      </c>
      <c r="B20" s="56">
        <f>Input!B25</f>
        <v>-312</v>
      </c>
      <c r="C20" s="55" t="str">
        <f t="shared" ref="C20:C21" si="5">SUBSTITUTE(TEXT(B20,"€ #,##0"),",",".")</f>
        <v>-€ 312</v>
      </c>
      <c r="D20" s="55" t="s">
        <v>129</v>
      </c>
      <c r="E20" s="55" t="s">
        <v>130</v>
      </c>
      <c r="F20" s="2"/>
      <c r="G20" s="2"/>
      <c r="H20" s="2"/>
      <c r="I20" s="2"/>
      <c r="J20" s="2"/>
      <c r="K20" s="2"/>
    </row>
    <row r="21" ht="15.75" customHeight="1">
      <c r="A21" s="55" t="s">
        <v>131</v>
      </c>
      <c r="B21" s="56">
        <f>Input!B27</f>
        <v>10508</v>
      </c>
      <c r="C21" s="55" t="str">
        <f t="shared" si="5"/>
        <v>€ 10.508</v>
      </c>
      <c r="D21" s="55" t="s">
        <v>132</v>
      </c>
      <c r="E21" s="55" t="s">
        <v>133</v>
      </c>
      <c r="F21" s="2"/>
      <c r="G21" s="2"/>
      <c r="H21" s="2"/>
      <c r="I21" s="2"/>
      <c r="J21" s="2"/>
      <c r="K21" s="2"/>
    </row>
    <row r="22" ht="15.75" customHeight="1">
      <c r="A22" s="55" t="s">
        <v>134</v>
      </c>
      <c r="B22" s="57">
        <f>Input!B28</f>
        <v>0.03502666667</v>
      </c>
      <c r="C22" s="55" t="str">
        <f t="shared" ref="C22:C25" si="6">TEXT(B22,"0.0%")</f>
        <v>3,5%</v>
      </c>
      <c r="D22" s="55" t="s">
        <v>135</v>
      </c>
      <c r="E22" s="55" t="s">
        <v>136</v>
      </c>
      <c r="F22" s="2"/>
      <c r="G22" s="2"/>
      <c r="H22" s="2"/>
      <c r="I22" s="2"/>
      <c r="J22" s="2"/>
      <c r="K22" s="2"/>
    </row>
    <row r="23" ht="15.75" customHeight="1">
      <c r="A23" s="55" t="s">
        <v>137</v>
      </c>
      <c r="B23" s="57">
        <f>Input!B29</f>
        <v>0.07005333333</v>
      </c>
      <c r="C23" s="55" t="str">
        <f t="shared" si="6"/>
        <v>7,0%</v>
      </c>
      <c r="D23" s="55" t="s">
        <v>138</v>
      </c>
      <c r="E23" s="55" t="s">
        <v>139</v>
      </c>
      <c r="F23" s="2"/>
      <c r="G23" s="2"/>
      <c r="H23" s="2"/>
      <c r="I23" s="2"/>
      <c r="J23" s="2"/>
      <c r="K23" s="2"/>
    </row>
    <row r="24" ht="15.75" customHeight="1">
      <c r="A24" s="55" t="s">
        <v>140</v>
      </c>
      <c r="B24" s="57">
        <f>Input!B30</f>
        <v>0.03</v>
      </c>
      <c r="C24" s="55" t="str">
        <f t="shared" si="6"/>
        <v>3,0%</v>
      </c>
      <c r="D24" s="55" t="s">
        <v>141</v>
      </c>
      <c r="E24" s="55" t="s">
        <v>52</v>
      </c>
      <c r="F24" s="2"/>
      <c r="G24" s="2"/>
      <c r="H24" s="2"/>
      <c r="I24" s="2"/>
      <c r="J24" s="2"/>
      <c r="K24" s="2"/>
    </row>
    <row r="25" ht="15.75" customHeight="1">
      <c r="A25" s="55" t="s">
        <v>142</v>
      </c>
      <c r="B25" s="57">
        <f>Input!B31</f>
        <v>0.1000533333</v>
      </c>
      <c r="C25" s="55" t="str">
        <f t="shared" si="6"/>
        <v>10,0%</v>
      </c>
      <c r="D25" s="55" t="s">
        <v>143</v>
      </c>
      <c r="E25" s="55" t="s">
        <v>55</v>
      </c>
      <c r="F25" s="2"/>
      <c r="G25" s="2"/>
      <c r="H25" s="2"/>
      <c r="I25" s="2"/>
      <c r="J25" s="2"/>
      <c r="K25" s="2"/>
    </row>
    <row r="26" ht="15.75" customHeight="1">
      <c r="A26" s="17" t="s">
        <v>144</v>
      </c>
      <c r="B26" s="17" t="str">
        <f>'Rapport pagina 1'!A23</f>
        <v>Het bruto rendement op marktwaarde bedraagt 5,2%. Na rente resteert € 15.600 per jaar. Na exploitatiekosten en vermogensbelasting blijft er € 10.508 aan netto huurinkomsten over. Daarmee komt het netto rendement op eigen inleg uit op 7,0%. Inclusief een gemiddelde waardestijging van 3,0% komt het totaal uit op 10,0%.
Voor iedere belegger is de box 3-situatie persoonsgebonden. In dit rekenvoorbeeld is ervan uitgegaan dat de belegger meer vermogen heeft, waardoor op deze casus geen heffingsvrij vermogen en geen schuldendrempel worden toegepast.</v>
      </c>
      <c r="C26" s="17" t="str">
        <f>B26</f>
        <v>Het bruto rendement op marktwaarde bedraagt 5,2%. Na rente resteert € 15.600 per jaar. Na exploitatiekosten en vermogensbelasting blijft er € 10.508 aan netto huurinkomsten over. Daarmee komt het netto rendement op eigen inleg uit op 7,0%. Inclusief een gemiddelde waardestijging van 3,0% komt het totaal uit op 10,0%.
Voor iedere belegger is de box 3-situatie persoonsgebonden. In dit rekenvoorbeeld is ervan uitgegaan dat de belegger meer vermogen heeft, waardoor op deze casus geen heffingsvrij vermogen en geen schuldendrempel worden toegepast.</v>
      </c>
      <c r="D26" s="17" t="s">
        <v>145</v>
      </c>
      <c r="E26" s="17" t="s">
        <v>146</v>
      </c>
      <c r="F26" s="2"/>
      <c r="G26" s="2"/>
      <c r="H26" s="2"/>
      <c r="I26" s="2"/>
      <c r="J26" s="2"/>
      <c r="K26" s="2"/>
    </row>
    <row r="27" ht="15.75" customHeight="1">
      <c r="A27" s="17"/>
      <c r="B27" s="17"/>
      <c r="C27" s="17"/>
      <c r="D27" s="17"/>
      <c r="E27" s="17"/>
      <c r="F27" s="2"/>
      <c r="G27" s="2"/>
      <c r="H27" s="2"/>
      <c r="I27" s="2"/>
      <c r="J27" s="2"/>
      <c r="K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E1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40.5"/>
    <col customWidth="1" min="2" max="2" width="7.0"/>
    <col customWidth="1" min="3" max="26" width="8.63"/>
  </cols>
  <sheetData>
    <row r="1">
      <c r="A1" s="1" t="s">
        <v>147</v>
      </c>
      <c r="C1" s="2"/>
      <c r="D1" s="2"/>
      <c r="E1" s="2"/>
      <c r="F1" s="2"/>
      <c r="G1" s="2"/>
      <c r="H1" s="2"/>
      <c r="I1" s="2"/>
      <c r="J1" s="2"/>
      <c r="K1" s="2"/>
    </row>
    <row r="2">
      <c r="A2" s="2"/>
      <c r="B2" s="2"/>
      <c r="C2" s="2"/>
      <c r="D2" s="2"/>
      <c r="E2" s="2"/>
      <c r="F2" s="2"/>
      <c r="G2" s="2"/>
      <c r="H2" s="2"/>
      <c r="I2" s="2"/>
      <c r="J2" s="2"/>
      <c r="K2" s="2"/>
    </row>
    <row r="3">
      <c r="A3" s="47" t="s">
        <v>148</v>
      </c>
      <c r="B3" s="47" t="s">
        <v>149</v>
      </c>
      <c r="C3" s="2"/>
      <c r="D3" s="2"/>
      <c r="E3" s="2"/>
      <c r="F3" s="2"/>
      <c r="G3" s="2"/>
      <c r="H3" s="2"/>
      <c r="I3" s="2"/>
      <c r="J3" s="2"/>
      <c r="K3" s="2"/>
    </row>
    <row r="4">
      <c r="A4" s="2" t="s">
        <v>150</v>
      </c>
      <c r="B4" s="58">
        <f>Input!B16</f>
        <v>15600</v>
      </c>
      <c r="C4" s="2"/>
      <c r="D4" s="2"/>
      <c r="E4" s="2"/>
      <c r="F4" s="2"/>
      <c r="G4" s="2"/>
      <c r="H4" s="2"/>
      <c r="I4" s="2"/>
      <c r="J4" s="2"/>
      <c r="K4" s="2"/>
    </row>
    <row r="5">
      <c r="A5" s="2" t="s">
        <v>73</v>
      </c>
      <c r="B5" s="58">
        <f>Input!B21</f>
        <v>0</v>
      </c>
      <c r="C5" s="2"/>
      <c r="D5" s="2"/>
      <c r="E5" s="2"/>
      <c r="F5" s="2"/>
      <c r="G5" s="2"/>
      <c r="H5" s="2"/>
      <c r="I5" s="2"/>
      <c r="J5" s="2"/>
      <c r="K5" s="2"/>
    </row>
    <row r="6">
      <c r="A6" s="2" t="s">
        <v>74</v>
      </c>
      <c r="B6" s="58">
        <f>Input!B26</f>
        <v>-4780</v>
      </c>
      <c r="C6" s="2"/>
      <c r="D6" s="2"/>
      <c r="E6" s="2"/>
      <c r="F6" s="2"/>
      <c r="G6" s="2"/>
      <c r="H6" s="2"/>
      <c r="I6" s="2"/>
      <c r="J6" s="2"/>
      <c r="K6" s="2"/>
    </row>
    <row r="7">
      <c r="A7" s="2" t="s">
        <v>151</v>
      </c>
      <c r="B7" s="58">
        <f>Input!B25</f>
        <v>-312</v>
      </c>
      <c r="C7" s="2"/>
      <c r="D7" s="2"/>
      <c r="E7" s="2"/>
      <c r="F7" s="2"/>
      <c r="G7" s="2"/>
      <c r="H7" s="2"/>
      <c r="I7" s="2"/>
      <c r="J7" s="2"/>
      <c r="K7" s="2"/>
    </row>
    <row r="8">
      <c r="A8" s="2" t="s">
        <v>46</v>
      </c>
      <c r="B8" s="58">
        <f>Input!B27</f>
        <v>10508</v>
      </c>
      <c r="C8" s="2"/>
      <c r="D8" s="2"/>
      <c r="E8" s="2"/>
      <c r="F8" s="2"/>
      <c r="G8" s="2"/>
      <c r="H8" s="2"/>
      <c r="I8" s="2"/>
      <c r="J8" s="2"/>
      <c r="K8" s="2"/>
    </row>
    <row r="9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</row>
    <row r="1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</row>
    <row r="1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</row>
    <row r="1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</row>
    <row r="1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</row>
    <row r="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B1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95.0"/>
    <col customWidth="1" min="3" max="26" width="8.63"/>
  </cols>
  <sheetData>
    <row r="1">
      <c r="A1" s="53" t="s">
        <v>152</v>
      </c>
      <c r="F1" s="2"/>
      <c r="G1" s="2"/>
      <c r="H1" s="2"/>
      <c r="I1" s="2"/>
      <c r="J1" s="2"/>
      <c r="K1" s="2"/>
    </row>
    <row r="2">
      <c r="A2" s="17"/>
      <c r="B2" s="17"/>
      <c r="C2" s="2"/>
      <c r="D2" s="2"/>
      <c r="E2" s="2"/>
      <c r="F2" s="2"/>
      <c r="G2" s="2"/>
      <c r="H2" s="2"/>
      <c r="I2" s="2"/>
      <c r="J2" s="2"/>
      <c r="K2" s="2"/>
    </row>
    <row r="3" ht="33.75" customHeight="1">
      <c r="A3" s="59" t="s">
        <v>153</v>
      </c>
      <c r="B3" s="17" t="s">
        <v>154</v>
      </c>
      <c r="C3" s="2"/>
      <c r="D3" s="2"/>
      <c r="E3" s="2"/>
      <c r="F3" s="2"/>
      <c r="G3" s="2"/>
      <c r="H3" s="2"/>
      <c r="I3" s="2"/>
      <c r="J3" s="2"/>
      <c r="K3" s="2"/>
    </row>
    <row r="4" ht="33.75" customHeight="1">
      <c r="A4" s="59" t="s">
        <v>155</v>
      </c>
      <c r="B4" s="17" t="s">
        <v>156</v>
      </c>
      <c r="C4" s="2"/>
      <c r="D4" s="2"/>
      <c r="E4" s="2"/>
      <c r="F4" s="2"/>
      <c r="G4" s="2"/>
      <c r="H4" s="2"/>
      <c r="I4" s="2"/>
      <c r="J4" s="2"/>
      <c r="K4" s="2"/>
    </row>
    <row r="5" ht="33.75" customHeight="1">
      <c r="A5" s="59" t="s">
        <v>74</v>
      </c>
      <c r="B5" s="17" t="s">
        <v>157</v>
      </c>
      <c r="C5" s="2"/>
      <c r="D5" s="2"/>
      <c r="E5" s="2"/>
      <c r="F5" s="2"/>
      <c r="G5" s="2"/>
      <c r="H5" s="2"/>
      <c r="I5" s="2"/>
      <c r="J5" s="2"/>
      <c r="K5" s="2"/>
    </row>
    <row r="6" ht="33.75" customHeight="1">
      <c r="A6" s="59" t="s">
        <v>151</v>
      </c>
      <c r="B6" s="17" t="s">
        <v>158</v>
      </c>
      <c r="C6" s="2"/>
      <c r="D6" s="2"/>
      <c r="E6" s="2"/>
      <c r="F6" s="2"/>
      <c r="G6" s="2"/>
      <c r="H6" s="2"/>
      <c r="I6" s="2"/>
      <c r="J6" s="2"/>
      <c r="K6" s="2"/>
    </row>
    <row r="7" ht="33.75" customHeight="1">
      <c r="A7" s="59" t="s">
        <v>159</v>
      </c>
      <c r="B7" s="17" t="s">
        <v>160</v>
      </c>
      <c r="C7" s="2"/>
      <c r="D7" s="2"/>
      <c r="E7" s="2"/>
      <c r="F7" s="2"/>
      <c r="G7" s="2"/>
      <c r="H7" s="2"/>
      <c r="I7" s="2"/>
      <c r="J7" s="2"/>
      <c r="K7" s="2"/>
    </row>
    <row r="8" ht="60.0" customHeight="1">
      <c r="A8" s="59" t="s">
        <v>161</v>
      </c>
      <c r="B8" s="17" t="s">
        <v>162</v>
      </c>
      <c r="C8" s="2"/>
      <c r="D8" s="2"/>
      <c r="E8" s="2"/>
      <c r="F8" s="2"/>
      <c r="G8" s="2"/>
      <c r="H8" s="2"/>
      <c r="I8" s="2"/>
      <c r="J8" s="2"/>
      <c r="K8" s="2"/>
    </row>
    <row r="9" ht="33.75" customHeight="1">
      <c r="A9" s="59" t="s">
        <v>163</v>
      </c>
      <c r="B9" s="17" t="s">
        <v>164</v>
      </c>
      <c r="C9" s="2"/>
      <c r="D9" s="2"/>
      <c r="E9" s="2"/>
      <c r="F9" s="2"/>
      <c r="G9" s="2"/>
      <c r="H9" s="2"/>
      <c r="I9" s="2"/>
      <c r="J9" s="2"/>
      <c r="K9" s="2"/>
    </row>
    <row r="10">
      <c r="A10" s="17"/>
      <c r="B10" s="17"/>
      <c r="C10" s="2"/>
      <c r="D10" s="2"/>
      <c r="E10" s="2"/>
      <c r="F10" s="2"/>
      <c r="G10" s="2"/>
      <c r="H10" s="2"/>
      <c r="I10" s="2"/>
      <c r="J10" s="2"/>
      <c r="K10" s="2"/>
    </row>
    <row r="11">
      <c r="A11" s="17"/>
      <c r="B11" s="17"/>
      <c r="C11" s="2"/>
      <c r="D11" s="2"/>
      <c r="E11" s="2"/>
      <c r="F11" s="2"/>
      <c r="G11" s="2"/>
      <c r="H11" s="2"/>
      <c r="I11" s="2"/>
      <c r="J11" s="2"/>
      <c r="K11" s="2"/>
    </row>
    <row r="12">
      <c r="A12" s="17"/>
      <c r="B12" s="17"/>
      <c r="C12" s="2"/>
      <c r="D12" s="2"/>
      <c r="E12" s="2"/>
      <c r="F12" s="2"/>
      <c r="G12" s="2"/>
      <c r="H12" s="2"/>
      <c r="I12" s="2"/>
      <c r="J12" s="2"/>
      <c r="K12" s="2"/>
    </row>
    <row r="1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</row>
    <row r="1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</row>
    <row r="1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</row>
    <row r="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E1"/>
  </mergeCells>
  <printOptions/>
  <pageMargins bottom="0.75" footer="0.0" header="0.0" left="0.7" right="0.7" top="0.75"/>
  <pageSetup orientation="landscape"/>
  <drawing r:id="rId1"/>
</worksheet>
</file>